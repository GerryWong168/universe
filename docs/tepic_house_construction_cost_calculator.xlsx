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89a5b6b90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8652c02392497d"/>
    <x:sheet xmlns:r="http://schemas.openxmlformats.org/officeDocument/2006/relationships" name="Inputs" sheetId="2" r:id="Rabb45bb8356f464a"/>
    <x:sheet xmlns:r="http://schemas.openxmlformats.org/officeDocument/2006/relationships" name="Source Costs" sheetId="3" r:id="R313075fb37114555"/>
    <x:sheet xmlns:r="http://schemas.openxmlformats.org/officeDocument/2006/relationships" name="Quantity Calc" sheetId="4" r:id="R345d35d5040d42b1"/>
    <x:sheet xmlns:r="http://schemas.openxmlformats.org/officeDocument/2006/relationships" name="Cost Summary" sheetId="5" r:id="R83fe83375e684eff"/>
    <x:sheet xmlns:r="http://schemas.openxmlformats.org/officeDocument/2006/relationships" name="Scenarios" sheetId="6" r:id="R5e1f624759f7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#,##0"/>
    <x:numFmt numFmtId="202" formatCode="#,##0.00"/>
    <x:numFmt numFmtId="203" formatCode="$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/>
    <x:xf numFmtId="200" fontId="2" fillId="4" borderId="0" xfId="0" applyNumberFormat="1" applyFont="1" applyFill="1" applyBorder="1"/>
    <x:xf numFmtId="200" fontId="0" fillId="4" borderId="1" xfId="0" applyNumberFormat="1" applyFont="1" applyFill="1" applyBorder="1"/>
    <x:xf numFmtId="200" fontId="2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b02b1c84a458d" /><Relationship Type="http://schemas.openxmlformats.org/officeDocument/2006/relationships/theme" Target="/xl/theme/theme1.xml" Id="Rb1b5265996ca4173" /><Relationship Type="http://schemas.openxmlformats.org/officeDocument/2006/relationships/sharedStrings" Target="/xl/sharedStrings.xml" Id="R849bd6f8e3514645" /><Relationship Type="http://schemas.openxmlformats.org/officeDocument/2006/relationships/worksheet" Target="/xl/worksheets/sheet1.xml" Id="Ra58652c02392497d" /><Relationship Type="http://schemas.openxmlformats.org/officeDocument/2006/relationships/worksheet" Target="/xl/worksheets/sheet2.xml" Id="Rabb45bb8356f464a" /><Relationship Type="http://schemas.openxmlformats.org/officeDocument/2006/relationships/worksheet" Target="/xl/worksheets/sheet3.xml" Id="R313075fb37114555" /><Relationship Type="http://schemas.openxmlformats.org/officeDocument/2006/relationships/worksheet" Target="/xl/worksheets/sheet4.xml" Id="R345d35d5040d42b1" /><Relationship Type="http://schemas.openxmlformats.org/officeDocument/2006/relationships/worksheet" Target="/xl/worksheets/sheet5.xml" Id="R83fe83375e684eff" /><Relationship Type="http://schemas.openxmlformats.org/officeDocument/2006/relationships/worksheet" Target="/xl/worksheets/sheet6.xml" Id="R5e1f624759f742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bb44e8f91d44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 by Category (MXN)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MXN</c:v>
          </c:tx>
          <c:cat>
            <c:strRef>
              <c:f>'Cost Summary'!$F$4:$F$14</c:f>
              <c:strCache>
                <c:ptCount val="0"/>
              </c:strCache>
            </c:strRef>
          </c:cat>
          <c:val>
            <c:numRef>
              <c:f>'Cost Summary'!$G$4:$G$14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bb44e8f91d44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ostsTable" displayName="SourceCostsTable" ref="A3:J27" headerRowCount="1">
  <x:tableColumns count="10">
    <x:tableColumn id="1" name="Item ID"/>
    <x:tableColumn id="2" name="Category"/>
    <x:tableColumn id="3" name="Description"/>
    <x:tableColumn id="4" name="Unit"/>
    <x:tableColumn id="5" name="Local / Low"/>
    <x:tableColumn id="6" name="Home Depot MX"/>
    <x:tableColumn id="7" name="MercadoLibre MX"/>
    <x:tableColumn id="8" name="Selected Cost"/>
    <x:tableColumn id="9" name="Source URL / Notes"/>
    <x:tableColumn id="10" name="Why used"/>
  </x:tableColumns>
  <x:tableStyleInfo name="TableStyleMedium2" showRowStripes="1"/>
</x:table>
</file>

<file path=xl/tables/table2.xml><?xml version="1.0" encoding="utf-8"?>
<x:table xmlns:x="http://schemas.openxmlformats.org/spreadsheetml/2006/main" id="2" name="QuantityCalcTable" displayName="QuantityCalcTable" ref="A3:I28" headerRowCount="1">
  <x:tableColumns count="9">
    <x:tableColumn id="1" name="Line"/>
    <x:tableColumn id="2" name="Item ID"/>
    <x:tableColumn id="3" name="Description"/>
    <x:tableColumn id="4" name="Quantity"/>
    <x:tableColumn id="5" name="Unit"/>
    <x:tableColumn id="6" name="Unit Cost MXN"/>
    <x:tableColumn id="7" name="Total MXN"/>
    <x:tableColumn id="8" name="Notes"/>
    <x:tableColumn id="9" name="Category"/>
  </x:tableColumns>
  <x:tableStyleInfo name="TableStyleMedium2" showRowStripes="1"/>
</x:table>
</file>

<file path=xl/tables/table3.xml><?xml version="1.0" encoding="utf-8"?>
<x:table xmlns:x="http://schemas.openxmlformats.org/spreadsheetml/2006/main" id="3" name="ScenariosTable" displayName="ScenariosTable" ref="A3:H7" headerRowCount="1">
  <x:tableColumns count="8">
    <x:tableColumn id="1" name="Scenario"/>
    <x:tableColumn id="2" name="Length"/>
    <x:tableColumn id="3" name="Width"/>
    <x:tableColumn id="4" name="Interior wall m"/>
    <x:tableColumn id="5" name="Bathrooms"/>
    <x:tableColumn id="6" name="Kitchens"/>
    <x:tableColumn id="7" name="Estimated MXN"/>
    <x:tableColumn id="8" name="Estimated C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0310210381949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2f64382ea346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244a59437cf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f685f3117d7442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>
      <x:c r="A1" s="8" t="str">
        <x:v>Tepic Mexico House Construction Cost Calculator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t="str">
        <x:v>Purpose</x:v>
      </x:c>
      <x:c r="B3" t="str">
        <x:v>Auto-calculate a house build cost from length, width, perimeter, exterior walls, interior drywall walls, roof, foundation, bathrooms, kitchen, doors/windows, and contingency.</x:v>
      </x:c>
      <x:c r="C3" t="str"/>
      <x:c r="D3" t="str"/>
      <x:c r="E3" t="str"/>
      <x:c r="F3" t="str"/>
      <x:c r="G3" t="str"/>
      <x:c r="H3" t="str"/>
    </x:row>
    <x:row r="4">
      <x:c r="A4" t="str">
        <x:v>How to use</x:v>
      </x:c>
      <x:c r="B4" t="str">
        <x:v>Edit yellow input cells on the Inputs sheet. Quantity Calc and Cost Summary update automatically.</x:v>
      </x:c>
      <x:c r="C4" t="str"/>
      <x:c r="D4" t="str"/>
      <x:c r="E4" t="str"/>
      <x:c r="F4" t="str"/>
      <x:c r="G4" t="str"/>
      <x:c r="H4" t="str"/>
    </x:row>
    <x:row r="5">
      <x:c r="A5" t="str">
        <x:v>Pricing sources</x:v>
      </x:c>
      <x:c r="B5" t="str">
        <x:v>Source Costs has 3 costing columns: Local/Contractor Estimate, Home Depot MX, MercadoLibre/Online. Choose one source or Average in Inputs!B5.</x:v>
      </x:c>
      <x:c r="C5" t="str"/>
      <x:c r="D5" t="str"/>
      <x:c r="E5" t="str"/>
      <x:c r="F5" t="str"/>
      <x:c r="G5" t="str"/>
      <x:c r="H5" t="str"/>
    </x:row>
    <x:row r="6">
      <x:c r="A6" t="str">
        <x:v>Important</x:v>
      </x:c>
      <x:c r="B6" t="str">
        <x:v>This is a gross construction model, not a stamped quote. Replace assumptions with real Tepic supplier and contractor quotes as you get them.</x:v>
      </x:c>
      <x:c r="C6" t="str"/>
      <x:c r="D6" t="str"/>
      <x:c r="E6" t="str"/>
      <x:c r="F6" t="str"/>
      <x:c r="G6" t="str"/>
      <x:c r="H6" t="str"/>
    </x:row>
    <x:row r="7">
      <x:c r="A7" t="str">
        <x:v>Default house</x:v>
      </x:c>
      <x:c r="B7" t="str">
        <x:v>6 m x 15 m, 3 m wall height, concrete/block exterior, drywall/metal-stud interior walls.</x:v>
      </x:c>
      <x:c r="C7" t="str"/>
      <x:c r="D7" t="str"/>
      <x:c r="E7" t="str"/>
      <x:c r="F7" t="str"/>
      <x:c r="G7" t="str"/>
      <x:c r="H7" t="str"/>
    </x:row>
    <x:row r="8">
      <x:c r="A8" t="str">
        <x:v>Currency</x:v>
      </x:c>
      <x:c r="B8" t="str">
        <x:v>All construction costs are in MXN. CAD conversion uses Inputs!B4.</x:v>
      </x:c>
      <x:c r="C8" t="str"/>
      <x:c r="D8" t="str"/>
      <x:c r="E8" t="str"/>
      <x:c r="F8" t="str"/>
      <x:c r="G8" t="str"/>
      <x:c r="H8" t="str"/>
    </x:row>
    <x:row r="9">
      <x:c r="A9" t="str">
        <x:v>Created</x:v>
      </x:c>
      <x:c r="B9" t="str">
        <x:v>2026-05-10</x:v>
      </x:c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>
        <x:v>Source examples used</x:v>
      </x:c>
      <x:c r="B11" t="str">
        <x:v>Home Depot MX for tablaroca and bathroom fixtures; MercadoLibre for kitchen cabinet/sink; local estimate rows where public source is not reliable.</x:v>
      </x:c>
      <x:c r="C11" t="str"/>
      <x:c r="D11" t="str"/>
      <x:c r="E11" t="str"/>
      <x:c r="F11" t="str"/>
      <x:c r="G11" t="str"/>
      <x:c r="H11" t="str"/>
    </x:row>
    <x:row r="12">
      <x:c r="A12" t="str">
        <x:v>Next improvement</x:v>
      </x:c>
      <x:c r="B12" t="str">
        <x:v>Add actual Tepic supplier quotes row-by-row as they come in.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42" hidden="0" customWidth="1"/>
  </x:cols>
  <x:sheetData>
    <x:row r="1">
      <x:c r="A1" s="8" t="str">
        <x:v>Editable Inputs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s="13" t="str">
        <x:v>Currency / Pricing</x:v>
      </x:c>
      <x:c r="B3" s="13" t="str"/>
      <x:c r="C3" s="13" t="str"/>
      <x:c r="D3" s="13" t="str"/>
    </x:row>
    <x:row r="4">
      <x:c r="A4" s="20" t="str">
        <x:v>CAD to MXN exchange rate</x:v>
      </x:c>
      <x:c r="B4" s="27" t="n">
        <x:v>12.5</x:v>
      </x:c>
      <x:c r="C4" s="20" t="str">
        <x:v>MXN per CAD</x:v>
      </x:c>
      <x:c r="D4" s="20" t="str">
        <x:v>Edit this</x:v>
      </x:c>
    </x:row>
    <x:row r="5">
      <x:c r="A5" s="20" t="str">
        <x:v>Pricing source</x:v>
      </x:c>
      <x:c r="B5" s="27" t="str">
        <x:v>Average</x:v>
      </x:c>
      <x:c r="C5" s="20" t="str">
        <x:v>Local / Low | Home Depot MX | MercadoLibre MX | Average</x:v>
      </x:c>
      <x:c r="D5" s="20" t="str">
        <x:v>Controls selected unit cost</x:v>
      </x:c>
    </x:row>
    <x:row r="6">
      <x:c r="A6" s="20" t="str"/>
      <x:c r="B6" s="27" t="str"/>
      <x:c r="C6" s="20" t="str"/>
      <x:c r="D6" s="20" t="str"/>
    </x:row>
    <x:row r="7">
      <x:c r="A7" s="13" t="str">
        <x:v>House Dimensions</x:v>
      </x:c>
      <x:c r="B7" s="28" t="str"/>
      <x:c r="C7" s="13" t="str"/>
      <x:c r="D7" s="13" t="str"/>
    </x:row>
    <x:row r="8">
      <x:c r="A8" s="20" t="str">
        <x:v>Length</x:v>
      </x:c>
      <x:c r="B8" s="27" t="n">
        <x:v>15</x:v>
      </x:c>
      <x:c r="C8" s="20" t="str">
        <x:v>m</x:v>
      </x:c>
      <x:c r="D8" s="20" t="str">
        <x:v>House length</x:v>
      </x:c>
    </x:row>
    <x:row r="9">
      <x:c r="A9" s="20" t="str">
        <x:v>Width</x:v>
      </x:c>
      <x:c r="B9" s="27" t="n">
        <x:v>6</x:v>
      </x:c>
      <x:c r="C9" s="20" t="str">
        <x:v>m</x:v>
      </x:c>
      <x:c r="D9" s="20" t="str">
        <x:v>House width</x:v>
      </x:c>
    </x:row>
    <x:row r="10">
      <x:c r="A10" s="20" t="str">
        <x:v>Wall height</x:v>
      </x:c>
      <x:c r="B10" s="27" t="n">
        <x:v>3</x:v>
      </x:c>
      <x:c r="C10" s="20" t="str">
        <x:v>m</x:v>
      </x:c>
      <x:c r="D10" s="20" t="str">
        <x:v>Exterior/interior wall height</x:v>
      </x:c>
    </x:row>
    <x:row r="11">
      <x:c r="A11" s="20" t="str">
        <x:v>Number of floors</x:v>
      </x:c>
      <x:c r="B11" s="27" t="n">
        <x:v>1</x:v>
      </x:c>
      <x:c r="C11" s="20" t="str">
        <x:v>count</x:v>
      </x:c>
      <x:c r="D11" s="20" t="str">
        <x:v>Default one-storey house</x:v>
      </x:c>
    </x:row>
    <x:row r="12">
      <x:c r="A12" s="20" t="str">
        <x:v>Roof overhang</x:v>
      </x:c>
      <x:c r="B12" s="27" t="n">
        <x:v>0.3</x:v>
      </x:c>
      <x:c r="C12" s="20" t="str">
        <x:v>m</x:v>
      </x:c>
      <x:c r="D12" s="20" t="str">
        <x:v>Added on all sides</x:v>
      </x:c>
    </x:row>
    <x:row r="13">
      <x:c r="A13" s="20" t="str">
        <x:v>Waste factor</x:v>
      </x:c>
      <x:c r="B13" s="27" t="n">
        <x:v>0.1</x:v>
      </x:c>
      <x:c r="C13" s="20" t="str">
        <x:v>%</x:v>
      </x:c>
      <x:c r="D13" s="20" t="str">
        <x:v>General material waste</x:v>
      </x:c>
    </x:row>
    <x:row r="14">
      <x:c r="A14" s="20" t="str"/>
      <x:c r="B14" s="27" t="str"/>
      <x:c r="C14" s="20" t="str"/>
      <x:c r="D14" s="20" t="str"/>
    </x:row>
    <x:row r="15">
      <x:c r="A15" s="13" t="str">
        <x:v>Foundation / Shell</x:v>
      </x:c>
      <x:c r="B15" s="28" t="str"/>
      <x:c r="C15" s="13" t="str"/>
      <x:c r="D15" s="13" t="str"/>
    </x:row>
    <x:row r="16">
      <x:c r="A16" s="20" t="str">
        <x:v>Footing width</x:v>
      </x:c>
      <x:c r="B16" s="27" t="n">
        <x:v>0.4</x:v>
      </x:c>
      <x:c r="C16" s="20" t="str">
        <x:v>m</x:v>
      </x:c>
      <x:c r="D16" s="20" t="str">
        <x:v>Continuous perimeter footing</x:v>
      </x:c>
    </x:row>
    <x:row r="17">
      <x:c r="A17" s="20" t="str">
        <x:v>Footing depth</x:v>
      </x:c>
      <x:c r="B17" s="27" t="n">
        <x:v>0.3</x:v>
      </x:c>
      <x:c r="C17" s="20" t="str">
        <x:v>m</x:v>
      </x:c>
      <x:c r="D17" s="20" t="str">
        <x:v>Continuous perimeter footing</x:v>
      </x:c>
    </x:row>
    <x:row r="18">
      <x:c r="A18" s="20" t="str">
        <x:v>Slab thickness</x:v>
      </x:c>
      <x:c r="B18" s="27" t="n">
        <x:v>0.1</x:v>
      </x:c>
      <x:c r="C18" s="20" t="str">
        <x:v>m</x:v>
      </x:c>
      <x:c r="D18" s="20" t="str">
        <x:v>Concrete floor slab</x:v>
      </x:c>
    </x:row>
    <x:row r="19">
      <x:c r="A19" s="20" t="str">
        <x:v>Exterior wall system</x:v>
      </x:c>
      <x:c r="B19" s="27" t="str">
        <x:v>Block/Concrete</x:v>
      </x:c>
      <x:c r="C19" s="20" t="str">
        <x:v>Block/Concrete</x:v>
      </x:c>
      <x:c r="D19" s="20" t="str">
        <x:v>Exterior assumed masonry/block</x:v>
      </x:c>
    </x:row>
    <x:row r="20">
      <x:c r="A20" s="20" t="str">
        <x:v>Exterior wall unit cost override</x:v>
      </x:c>
      <x:c r="B20" s="27" t="str"/>
      <x:c r="C20" s="20" t="str">
        <x:v>MXN/m²</x:v>
      </x:c>
      <x:c r="D20" s="20" t="str">
        <x:v>Leave blank to use Source Costs</x:v>
      </x:c>
    </x:row>
    <x:row r="21">
      <x:c r="A21" s="20" t="str">
        <x:v>Roof unit cost override</x:v>
      </x:c>
      <x:c r="B21" s="27" t="str"/>
      <x:c r="C21" s="20" t="str">
        <x:v>MXN/m²</x:v>
      </x:c>
      <x:c r="D21" s="20" t="str">
        <x:v>Leave blank to use Source Costs</x:v>
      </x:c>
    </x:row>
    <x:row r="22">
      <x:c r="A22" s="20" t="str"/>
      <x:c r="B22" s="27" t="str"/>
      <x:c r="C22" s="20" t="str"/>
      <x:c r="D22" s="20" t="str"/>
    </x:row>
    <x:row r="23">
      <x:c r="A23" s="13" t="str">
        <x:v>Interior Walls / Rooms</x:v>
      </x:c>
      <x:c r="B23" s="28" t="str"/>
      <x:c r="C23" s="13" t="str"/>
      <x:c r="D23" s="13" t="str"/>
    </x:row>
    <x:row r="24">
      <x:c r="A24" s="20" t="str">
        <x:v>Interior wall total length</x:v>
      </x:c>
      <x:c r="B24" s="27" t="n">
        <x:v>45</x:v>
      </x:c>
      <x:c r="C24" s="20" t="str">
        <x:v>m</x:v>
      </x:c>
      <x:c r="D24" s="20" t="str">
        <x:v>All non-exterior partition walls</x:v>
      </x:c>
    </x:row>
    <x:row r="25">
      <x:c r="A25" s="20" t="str">
        <x:v>Interior wall system</x:v>
      </x:c>
      <x:c r="B25" s="27" t="str">
        <x:v>Drywall + Metal Studs</x:v>
      </x:c>
      <x:c r="C25" s="20" t="str">
        <x:v>Drywall + Metal Studs</x:v>
      </x:c>
      <x:c r="D25" s="20" t="str">
        <x:v>Assumes drywall both sides</x:v>
      </x:c>
    </x:row>
    <x:row r="26">
      <x:c r="A26" s="20" t="str">
        <x:v>Bedrooms</x:v>
      </x:c>
      <x:c r="B26" s="27" t="n">
        <x:v>2</x:v>
      </x:c>
      <x:c r="C26" s="20" t="str">
        <x:v>count</x:v>
      </x:c>
      <x:c r="D26" s="20" t="str">
        <x:v>Informational</x:v>
      </x:c>
    </x:row>
    <x:row r="27">
      <x:c r="A27" s="20" t="str">
        <x:v>Bathrooms</x:v>
      </x:c>
      <x:c r="B27" s="27" t="n">
        <x:v>1</x:v>
      </x:c>
      <x:c r="C27" s="20" t="str">
        <x:v>count</x:v>
      </x:c>
      <x:c r="D27" s="20" t="str">
        <x:v>Fixture package count</x:v>
      </x:c>
    </x:row>
    <x:row r="28">
      <x:c r="A28" s="20" t="str">
        <x:v>Kitchens</x:v>
      </x:c>
      <x:c r="B28" s="27" t="n">
        <x:v>1</x:v>
      </x:c>
      <x:c r="C28" s="20" t="str">
        <x:v>count</x:v>
      </x:c>
      <x:c r="D28" s="20" t="str">
        <x:v>Kitchen package count</x:v>
      </x:c>
    </x:row>
    <x:row r="29">
      <x:c r="A29" s="20" t="str">
        <x:v>Interior doors</x:v>
      </x:c>
      <x:c r="B29" s="27" t="n">
        <x:v>5</x:v>
      </x:c>
      <x:c r="C29" s="20" t="str">
        <x:v>count</x:v>
      </x:c>
      <x:c r="D29" s="20" t="str">
        <x:v>Bedrooms, bathroom, etc.</x:v>
      </x:c>
    </x:row>
    <x:row r="30">
      <x:c r="A30" s="20" t="str">
        <x:v>Exterior doors</x:v>
      </x:c>
      <x:c r="B30" s="27" t="n">
        <x:v>2</x:v>
      </x:c>
      <x:c r="C30" s="20" t="str">
        <x:v>count</x:v>
      </x:c>
      <x:c r="D30" s="20" t="str">
        <x:v>Front/back</x:v>
      </x:c>
    </x:row>
    <x:row r="31">
      <x:c r="A31" s="20" t="str">
        <x:v>Windows</x:v>
      </x:c>
      <x:c r="B31" s="27" t="n">
        <x:v>6</x:v>
      </x:c>
      <x:c r="C31" s="20" t="str">
        <x:v>count</x:v>
      </x:c>
      <x:c r="D31" s="20" t="str">
        <x:v>Basic aluminum windows</x:v>
      </x:c>
    </x:row>
    <x:row r="32">
      <x:c r="A32" s="20" t="str"/>
      <x:c r="B32" s="27" t="str"/>
      <x:c r="C32" s="20" t="str"/>
      <x:c r="D32" s="20" t="str"/>
    </x:row>
    <x:row r="33">
      <x:c r="A33" s="13" t="str">
        <x:v>MEP / Finishing Allowances</x:v>
      </x:c>
      <x:c r="B33" s="28" t="str"/>
      <x:c r="C33" s="13" t="str"/>
      <x:c r="D33" s="13" t="str"/>
    </x:row>
    <x:row r="34">
      <x:c r="A34" s="20" t="str">
        <x:v>Electrical points</x:v>
      </x:c>
      <x:c r="B34" s="27" t="n">
        <x:v>30</x:v>
      </x:c>
      <x:c r="C34" s="20" t="str">
        <x:v>count</x:v>
      </x:c>
      <x:c r="D34" s="20" t="str">
        <x:v>Outlets, switches, lights</x:v>
      </x:c>
    </x:row>
    <x:row r="35">
      <x:c r="A35" s="20" t="str">
        <x:v>Plumbing points</x:v>
      </x:c>
      <x:c r="B35" s="27" t="n">
        <x:v>8</x:v>
      </x:c>
      <x:c r="C35" s="20" t="str">
        <x:v>count</x:v>
      </x:c>
      <x:c r="D35" s="20" t="str">
        <x:v>Sink, WC, shower, kitchen, laundry</x:v>
      </x:c>
    </x:row>
    <x:row r="36">
      <x:c r="A36" s="20" t="str">
        <x:v>Flooring area multiplier</x:v>
      </x:c>
      <x:c r="B36" s="27" t="n">
        <x:v>1</x:v>
      </x:c>
      <x:c r="C36" s="20" t="str">
        <x:v>x floor area</x:v>
      </x:c>
      <x:c r="D36" s="20" t="str">
        <x:v>Usually 1 floor area</x:v>
      </x:c>
    </x:row>
    <x:row r="37">
      <x:c r="A37" s="20" t="str">
        <x:v>Paint wall sides included</x:v>
      </x:c>
      <x:c r="B37" s="27" t="str">
        <x:v>Yes</x:v>
      </x:c>
      <x:c r="C37" s="20" t="str">
        <x:v>Yes/No</x:v>
      </x:c>
      <x:c r="D37" s="20" t="str">
        <x:v>Exterior + interior wall surfaces</x:v>
      </x:c>
    </x:row>
    <x:row r="38">
      <x:c r="A38" s="20" t="str"/>
      <x:c r="B38" s="27" t="str"/>
      <x:c r="C38" s="20" t="str"/>
      <x:c r="D38" s="20" t="str"/>
    </x:row>
    <x:row r="39">
      <x:c r="A39" s="13" t="str">
        <x:v>Project Controls</x:v>
      </x:c>
      <x:c r="B39" s="28" t="str"/>
      <x:c r="C39" s="13" t="str"/>
      <x:c r="D39" s="13" t="str"/>
    </x:row>
    <x:row r="40">
      <x:c r="A40" s="20" t="str">
        <x:v>Labor multiplier</x:v>
      </x:c>
      <x:c r="B40" s="27" t="n">
        <x:v>1</x:v>
      </x:c>
      <x:c r="C40" s="20" t="str">
        <x:v>x</x:v>
      </x:c>
      <x:c r="D40" s="20" t="str">
        <x:v>Adjust labor costs</x:v>
      </x:c>
    </x:row>
    <x:row r="41">
      <x:c r="A41" s="20" t="str">
        <x:v>Contingency</x:v>
      </x:c>
      <x:c r="B41" s="27" t="n">
        <x:v>0.12</x:v>
      </x:c>
      <x:c r="C41" s="20" t="str">
        <x:v>%</x:v>
      </x:c>
      <x:c r="D41" s="20" t="str">
        <x:v>Recommended 10%-15%</x:v>
      </x:c>
    </x:row>
    <x:row r="42">
      <x:c r="A42" s="20" t="str">
        <x:v>Profit/Builder markup</x:v>
      </x:c>
      <x:c r="B42" s="27" t="n">
        <x:v>0</x:v>
      </x:c>
      <x:c r="C42" s="20" t="str">
        <x:v>%</x:v>
      </x:c>
      <x:c r="D42" s="20" t="str">
        <x:v>Optional</x:v>
      </x:c>
    </x:row>
  </x:sheetData>
  <x:mergeCells>
    <x:mergeCell ref="A1:D1"/>
  </x:mergeCells>
  <x:dataValidations count="4">
    <x:dataValidation type="list" sqref="B5">
      <x:formula1>"Local / Low,Home Depot MX,MercadoLibre MX,Average"</x:formula1>
    </x:dataValidation>
    <x:dataValidation type="list" sqref="B19">
      <x:formula1>"Block/Concrete"</x:formula1>
    </x:dataValidation>
    <x:dataValidation type="list" sqref="B25">
      <x:formula1>"Drywall + Metal Studs"</x:formula1>
    </x:dataValidation>
    <x:dataValidation type="list" sqref="B37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2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70" hidden="0" customWidth="1"/>
    <x:col min="10" max="10" width="32" hidden="0" customWidth="1"/>
  </x:cols>
  <x:sheetData>
    <x:row r="1">
      <x:c r="A1" s="8" t="str">
        <x:v>Source Costs - editable assumptions in MXN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s="23" t="str">
        <x:v>Item ID</x:v>
      </x:c>
      <x:c r="B3" s="23" t="str">
        <x:v>Category</x:v>
      </x:c>
      <x:c r="C3" s="23" t="str">
        <x:v>Description</x:v>
      </x:c>
      <x:c r="D3" s="23" t="str">
        <x:v>Unit</x:v>
      </x:c>
      <x:c r="E3" s="23" t="str">
        <x:v>Local / Low</x:v>
      </x:c>
      <x:c r="F3" s="23" t="str">
        <x:v>Home Depot MX</x:v>
      </x:c>
      <x:c r="G3" s="23" t="str">
        <x:v>MercadoLibre MX</x:v>
      </x:c>
      <x:c r="H3" s="23" t="str">
        <x:v>Selected Cost</x:v>
      </x:c>
      <x:c r="I3" s="23" t="str">
        <x:v>Source URL / Notes</x:v>
      </x:c>
      <x:c r="J3" s="23" t="str">
        <x:v>Why used</x:v>
      </x:c>
    </x:row>
    <x:row r="4">
      <x:c r="A4" t="str">
        <x:v>concrete_m3</x:v>
      </x:c>
      <x:c r="B4" t="str">
        <x:v>Foundation</x:v>
      </x:c>
      <x:c r="C4" t="str">
        <x:v>Ready-mix concrete allowance</x:v>
      </x:c>
      <x:c r="D4" t="str">
        <x:v>m³</x:v>
      </x:c>
      <x:c r="E4" s="31" t="n">
        <x:v>2500</x:v>
      </x:c>
      <x:c r="F4" s="31" t="n">
        <x:v>3100</x:v>
      </x:c>
      <x:c r="G4" s="31" t="n">
        <x:v>2900</x:v>
      </x:c>
      <x:c r="H4" s="31" t="n">
        <x:f>IF(Inputs!$B$5="Local / Low",E4,IF(Inputs!$B$5="Home Depot MX",F4,IF(Inputs!$B$5="MercadoLibre MX",G4,AVERAGE(E4:G4))))</x:f>
        <x:v>2833.3333333333335</x:v>
      </x:c>
      <x:c r="I4" t="str">
        <x:v>Local estimate / replace with Tepic quote</x:v>
      </x:c>
      <x:c r="J4" t="str">
        <x:v>Footings and slab</x:v>
      </x:c>
    </x:row>
    <x:row r="5">
      <x:c r="A5" t="str">
        <x:v>rebar_kg</x:v>
      </x:c>
      <x:c r="B5" t="str">
        <x:v>Foundation</x:v>
      </x:c>
      <x:c r="C5" t="str">
        <x:v>Rebar / steel allowance</x:v>
      </x:c>
      <x:c r="D5" t="str">
        <x:v>kg</x:v>
      </x:c>
      <x:c r="E5" s="31" t="n">
        <x:v>24</x:v>
      </x:c>
      <x:c r="F5" s="31" t="n">
        <x:v>30</x:v>
      </x:c>
      <x:c r="G5" s="31" t="n">
        <x:v>27</x:v>
      </x:c>
      <x:c r="H5" s="31" t="n">
        <x:f>IF(Inputs!$B$5="Local / Low",E5,IF(Inputs!$B$5="Home Depot MX",F5,IF(Inputs!$B$5="MercadoLibre MX",G5,AVERAGE(E5:G5))))</x:f>
        <x:v>27</x:v>
      </x:c>
      <x:c r="I5" t="str">
        <x:v>Local estimate / replace with supplier quote</x:v>
      </x:c>
      <x:c r="J5" t="str">
        <x:v>Footings, columns, tie beams</x:v>
      </x:c>
    </x:row>
    <x:row r="6">
      <x:c r="A6" t="str">
        <x:v>footing_labor_m</x:v>
      </x:c>
      <x:c r="B6" t="str">
        <x:v>Labor</x:v>
      </x:c>
      <x:c r="C6" t="str">
        <x:v>Footing/foundation labor</x:v>
      </x:c>
      <x:c r="D6" t="str">
        <x:v>m</x:v>
      </x:c>
      <x:c r="E6" s="31" t="n">
        <x:v>180</x:v>
      </x:c>
      <x:c r="F6" s="31" t="n">
        <x:v>230</x:v>
      </x:c>
      <x:c r="G6" s="31" t="n">
        <x:v>210</x:v>
      </x:c>
      <x:c r="H6" s="31" t="n">
        <x:f>IF(Inputs!$B$5="Local / Low",E6,IF(Inputs!$B$5="Home Depot MX",F6,IF(Inputs!$B$5="MercadoLibre MX",G6,AVERAGE(E6:G6))))</x:f>
        <x:v>206.66666666666666</x:v>
      </x:c>
      <x:c r="I6" t="str">
        <x:v>Local estimate</x:v>
      </x:c>
      <x:c r="J6" t="str">
        <x:v>Excavate, form, pour allowance</x:v>
      </x:c>
    </x:row>
    <x:row r="7">
      <x:c r="A7" t="str">
        <x:v>slab_labor_m2</x:v>
      </x:c>
      <x:c r="B7" t="str">
        <x:v>Labor</x:v>
      </x:c>
      <x:c r="C7" t="str">
        <x:v>Concrete slab labor</x:v>
      </x:c>
      <x:c r="D7" t="str">
        <x:v>m²</x:v>
      </x:c>
      <x:c r="E7" s="31" t="n">
        <x:v>120</x:v>
      </x:c>
      <x:c r="F7" s="31" t="n">
        <x:v>160</x:v>
      </x:c>
      <x:c r="G7" s="31" t="n">
        <x:v>140</x:v>
      </x:c>
      <x:c r="H7" s="31" t="n">
        <x:f>IF(Inputs!$B$5="Local / Low",E7,IF(Inputs!$B$5="Home Depot MX",F7,IF(Inputs!$B$5="MercadoLibre MX",G7,AVERAGE(E7:G7))))</x:f>
        <x:v>140</x:v>
      </x:c>
      <x:c r="I7" t="str">
        <x:v>Local estimate</x:v>
      </x:c>
      <x:c r="J7" t="str">
        <x:v>Simple slab labor</x:v>
      </x:c>
    </x:row>
    <x:row r="8">
      <x:c r="A8" t="str">
        <x:v>exterior_wall_m2</x:v>
      </x:c>
      <x:c r="B8" t="str">
        <x:v>Exterior Shell</x:v>
      </x:c>
      <x:c r="C8" t="str">
        <x:v>Block/concrete exterior wall material</x:v>
      </x:c>
      <x:c r="D8" t="str">
        <x:v>m²</x:v>
      </x:c>
      <x:c r="E8" s="31" t="n">
        <x:v>260</x:v>
      </x:c>
      <x:c r="F8" s="31" t="n">
        <x:v>340</x:v>
      </x:c>
      <x:c r="G8" s="31" t="n">
        <x:v>300</x:v>
      </x:c>
      <x:c r="H8" s="31" t="n">
        <x:f>IF(Inputs!$B$5="Local / Low",E8,IF(Inputs!$B$5="Home Depot MX",F8,IF(Inputs!$B$5="MercadoLibre MX",G8,AVERAGE(E8:G8))))</x:f>
        <x:v>300</x:v>
      </x:c>
      <x:c r="I8" t="str">
        <x:v>Local estimate / common block wall allowance</x:v>
      </x:c>
      <x:c r="J8" t="str">
        <x:v>Blocks, mortar, minor steel</x:v>
      </x:c>
    </x:row>
    <x:row r="9">
      <x:c r="A9" t="str">
        <x:v>exterior_wall_labor_m2</x:v>
      </x:c>
      <x:c r="B9" t="str">
        <x:v>Labor</x:v>
      </x:c>
      <x:c r="C9" t="str">
        <x:v>Exterior masonry wall labor</x:v>
      </x:c>
      <x:c r="D9" t="str">
        <x:v>m²</x:v>
      </x:c>
      <x:c r="E9" s="31" t="n">
        <x:v>120</x:v>
      </x:c>
      <x:c r="F9" s="31" t="n">
        <x:v>160</x:v>
      </x:c>
      <x:c r="G9" s="31" t="n">
        <x:v>140</x:v>
      </x:c>
      <x:c r="H9" s="31" t="n">
        <x:f>IF(Inputs!$B$5="Local / Low",E9,IF(Inputs!$B$5="Home Depot MX",F9,IF(Inputs!$B$5="MercadoLibre MX",G9,AVERAGE(E9:G9))))</x:f>
        <x:v>140</x:v>
      </x:c>
      <x:c r="I9" t="str">
        <x:v>User/local estimate</x:v>
      </x:c>
      <x:c r="J9" t="str">
        <x:v>Masonry labor</x:v>
      </x:c>
    </x:row>
    <x:row r="10">
      <x:c r="A10" t="str">
        <x:v>columns_beams_m</x:v>
      </x:c>
      <x:c r="B10" t="str">
        <x:v>Exterior Shell</x:v>
      </x:c>
      <x:c r="C10" t="str">
        <x:v>Columns/tie beams allowance</x:v>
      </x:c>
      <x:c r="D10" t="str">
        <x:v>m</x:v>
      </x:c>
      <x:c r="E10" s="31" t="n">
        <x:v>260</x:v>
      </x:c>
      <x:c r="F10" s="31" t="n">
        <x:v>360</x:v>
      </x:c>
      <x:c r="G10" s="31" t="n">
        <x:v>310</x:v>
      </x:c>
      <x:c r="H10" s="31" t="n">
        <x:f>IF(Inputs!$B$5="Local / Low",E10,IF(Inputs!$B$5="Home Depot MX",F10,IF(Inputs!$B$5="MercadoLibre MX",G10,AVERAGE(E10:G10))))</x:f>
        <x:v>310</x:v>
      </x:c>
      <x:c r="I10" t="str">
        <x:v>Local estimate</x:v>
      </x:c>
      <x:c r="J10" t="str">
        <x:v>Castillos/cadenas material allowance</x:v>
      </x:c>
    </x:row>
    <x:row r="11">
      <x:c r="A11" t="str">
        <x:v>columns_beams_labor_m</x:v>
      </x:c>
      <x:c r="B11" t="str">
        <x:v>Labor</x:v>
      </x:c>
      <x:c r="C11" t="str">
        <x:v>Columns/tie beams labor</x:v>
      </x:c>
      <x:c r="D11" t="str">
        <x:v>m</x:v>
      </x:c>
      <x:c r="E11" s="31" t="n">
        <x:v>100</x:v>
      </x:c>
      <x:c r="F11" s="31" t="n">
        <x:v>130</x:v>
      </x:c>
      <x:c r="G11" s="31" t="n">
        <x:v>115</x:v>
      </x:c>
      <x:c r="H11" s="31" t="n">
        <x:f>IF(Inputs!$B$5="Local / Low",E11,IF(Inputs!$B$5="Home Depot MX",F11,IF(Inputs!$B$5="MercadoLibre MX",G11,AVERAGE(E11:G11))))</x:f>
        <x:v>115</x:v>
      </x:c>
      <x:c r="I11" t="str">
        <x:v>User/local estimate</x:v>
      </x:c>
      <x:c r="J11" t="str">
        <x:v>Labor for reinforced columns/beams</x:v>
      </x:c>
    </x:row>
    <x:row r="12">
      <x:c r="A12" t="str">
        <x:v>roof_m2</x:v>
      </x:c>
      <x:c r="B12" t="str">
        <x:v>Roof</x:v>
      </x:c>
      <x:c r="C12" t="str">
        <x:v>Basic concrete/beam roof allowance</x:v>
      </x:c>
      <x:c r="D12" t="str">
        <x:v>m²</x:v>
      </x:c>
      <x:c r="E12" s="31" t="n">
        <x:v>850</x:v>
      </x:c>
      <x:c r="F12" s="31" t="n">
        <x:v>1100</x:v>
      </x:c>
      <x:c r="G12" s="31" t="n">
        <x:v>950</x:v>
      </x:c>
      <x:c r="H12" s="31" t="n">
        <x:f>IF(Inputs!$B$5="Local / Low",E12,IF(Inputs!$B$5="Home Depot MX",F12,IF(Inputs!$B$5="MercadoLibre MX",G12,AVERAGE(E12:G12))))</x:f>
        <x:v>966.6666666666666</x:v>
      </x:c>
      <x:c r="I12" t="str">
        <x:v>Local estimate / replace with quote</x:v>
      </x:c>
      <x:c r="J12" t="str">
        <x:v>Roof structure</x:v>
      </x:c>
    </x:row>
    <x:row r="13">
      <x:c r="A13" t="str">
        <x:v>drywall_panel</x:v>
      </x:c>
      <x:c r="B13" t="str">
        <x:v>Interior Walls</x:v>
      </x:c>
      <x:c r="C13" t="str">
        <x:v>Tablaroca drywall board 122x244 cm</x:v>
      </x:c>
      <x:c r="D13" t="str">
        <x:v>sheet</x:v>
      </x:c>
      <x:c r="E13" s="31" t="n">
        <x:v>248</x:v>
      </x:c>
      <x:c r="F13" s="31" t="n">
        <x:v>248</x:v>
      </x:c>
      <x:c r="G13" s="31" t="n">
        <x:v>260</x:v>
      </x:c>
      <x:c r="H13" s="31" t="n">
        <x:f>IF(Inputs!$B$5="Local / Low",E13,IF(Inputs!$B$5="Home Depot MX",F13,IF(Inputs!$B$5="MercadoLibre MX",G13,AVERAGE(E13:G13))))</x:f>
        <x:v>252</x:v>
      </x:c>
      <x:c r="I13" t="str">
        <x:v>https://www.homedepot.com.mx/p/usg-tablero-tablaroca-ultralight-122-x-244-cm-tbul13244-808745</x:v>
      </x:c>
      <x:c r="J13" t="str">
        <x:v>Interior partition board</x:v>
      </x:c>
    </x:row>
    <x:row r="14">
      <x:c r="A14" t="str">
        <x:v>metal_stud_3m</x:v>
      </x:c>
      <x:c r="B14" t="str">
        <x:v>Interior Walls</x:v>
      </x:c>
      <x:c r="C14" t="str">
        <x:v>Metal channel/stud 3.05 m</x:v>
      </x:c>
      <x:c r="D14" t="str">
        <x:v>piece</x:v>
      </x:c>
      <x:c r="E14" s="31" t="n">
        <x:v>95</x:v>
      </x:c>
      <x:c r="F14" s="31" t="n">
        <x:v>108</x:v>
      </x:c>
      <x:c r="G14" s="31" t="n">
        <x:v>105</x:v>
      </x:c>
      <x:c r="H14" s="31" t="n">
        <x:f>IF(Inputs!$B$5="Local / Low",E14,IF(Inputs!$B$5="Home Depot MX",F14,IF(Inputs!$B$5="MercadoLibre MX",G14,AVERAGE(E14:G14))))</x:f>
        <x:v>102.66666666666667</x:v>
      </x:c>
      <x:c r="I14" t="str">
        <x:v>https://www.homedepot.com.mx/p/usg-canal-liston-plata-305-x-63-cm-82108-82108</x:v>
      </x:c>
      <x:c r="J14" t="str">
        <x:v>Studs/tracks for drywall</x:v>
      </x:c>
    </x:row>
    <x:row r="15">
      <x:c r="A15" t="str">
        <x:v>drywall_labor_m2</x:v>
      </x:c>
      <x:c r="B15" t="str">
        <x:v>Labor</x:v>
      </x:c>
      <x:c r="C15" t="str">
        <x:v>Drywall install labor both sides</x:v>
      </x:c>
      <x:c r="D15" t="str">
        <x:v>m²</x:v>
      </x:c>
      <x:c r="E15" s="31" t="n">
        <x:v>130</x:v>
      </x:c>
      <x:c r="F15" s="31" t="n">
        <x:v>180</x:v>
      </x:c>
      <x:c r="G15" s="31" t="n">
        <x:v>150</x:v>
      </x:c>
      <x:c r="H15" s="31" t="n">
        <x:f>IF(Inputs!$B$5="Local / Low",E15,IF(Inputs!$B$5="Home Depot MX",F15,IF(Inputs!$B$5="MercadoLibre MX",G15,AVERAGE(E15:G15))))</x:f>
        <x:v>153.33333333333334</x:v>
      </x:c>
      <x:c r="I15" t="str">
        <x:v>Local estimate</x:v>
      </x:c>
      <x:c r="J15" t="str">
        <x:v>Interior wall labor</x:v>
      </x:c>
    </x:row>
    <x:row r="16">
      <x:c r="A16" t="str">
        <x:v>bathroom_package</x:v>
      </x:c>
      <x:c r="B16" t="str">
        <x:v>Fixtures</x:v>
      </x:c>
      <x:c r="C16" t="str">
        <x:v>Basic bathroom package: toilet + sink/pedestal</x:v>
      </x:c>
      <x:c r="D16" t="str">
        <x:v>bathroom</x:v>
      </x:c>
      <x:c r="E16" s="31" t="n">
        <x:v>3539</x:v>
      </x:c>
      <x:c r="F16" s="31" t="n">
        <x:v>3999</x:v>
      </x:c>
      <x:c r="G16" s="31" t="n">
        <x:v>3800</x:v>
      </x:c>
      <x:c r="H16" s="31" t="n">
        <x:f>IF(Inputs!$B$5="Local / Low",E16,IF(Inputs!$B$5="Home Depot MX",F16,IF(Inputs!$B$5="MercadoLibre MX",G16,AVERAGE(E16:G16))))</x:f>
        <x:v>3779.3333333333335</x:v>
      </x:c>
      <x:c r="I16" t="str">
        <x:v>https://www.homedepot.com.mx/p/urrea-sanitario-2-piezas-sian-lavabo-pedestal-austria-58047022-216652</x:v>
      </x:c>
      <x:c r="J16" t="str">
        <x:v>Base bathroom fixtures</x:v>
      </x:c>
    </x:row>
    <x:row r="17">
      <x:c r="A17" t="str">
        <x:v>shower_package</x:v>
      </x:c>
      <x:c r="B17" t="str">
        <x:v>Fixtures</x:v>
      </x:c>
      <x:c r="C17" t="str">
        <x:v>Basic shower/valves/drain allowance</x:v>
      </x:c>
      <x:c r="D17" t="str">
        <x:v>bathroom</x:v>
      </x:c>
      <x:c r="E17" s="31" t="n">
        <x:v>2500</x:v>
      </x:c>
      <x:c r="F17" s="31" t="n">
        <x:v>3500</x:v>
      </x:c>
      <x:c r="G17" s="31" t="n">
        <x:v>3000</x:v>
      </x:c>
      <x:c r="H17" s="31" t="n">
        <x:f>IF(Inputs!$B$5="Local / Low",E17,IF(Inputs!$B$5="Home Depot MX",F17,IF(Inputs!$B$5="MercadoLibre MX",G17,AVERAGE(E17:G17))))</x:f>
        <x:v>3000</x:v>
      </x:c>
      <x:c r="I17" t="str">
        <x:v>Local estimate / replace with fixture quote</x:v>
      </x:c>
      <x:c r="J17" t="str">
        <x:v>Shower not always in WC/sink package</x:v>
      </x:c>
    </x:row>
    <x:row r="18">
      <x:c r="A18" t="str">
        <x:v>kitchen_cabinet_sink</x:v>
      </x:c>
      <x:c r="B18" t="str">
        <x:v>Kitchen</x:v>
      </x:c>
      <x:c r="C18" t="str">
        <x:v>Basic kitchen cabinet with sink</x:v>
      </x:c>
      <x:c r="D18" t="str">
        <x:v>kitchen</x:v>
      </x:c>
      <x:c r="E18" s="31" t="n">
        <x:v>3499</x:v>
      </x:c>
      <x:c r="F18" s="31" t="n">
        <x:v>6500</x:v>
      </x:c>
      <x:c r="G18" s="31" t="n">
        <x:v>3999</x:v>
      </x:c>
      <x:c r="H18" s="31" t="n">
        <x:f>IF(Inputs!$B$5="Local / Low",E18,IF(Inputs!$B$5="Home Depot MX",F18,IF(Inputs!$B$5="MercadoLibre MX",G18,AVERAGE(E18:G18))))</x:f>
        <x:v>4666</x:v>
      </x:c>
      <x:c r="I18" t="str">
        <x:v>https://www.mercadolibre.com.mx/fregadero-con-tarja-cocina-gabinete-de-lamina-1m-chocolate/up/MLMU3718589042</x:v>
      </x:c>
      <x:c r="J18" t="str">
        <x:v>Low-cost rental kitchen</x:v>
      </x:c>
    </x:row>
    <x:row r="19">
      <x:c r="A19" t="str">
        <x:v>kitchen_extra_cabinets</x:v>
      </x:c>
      <x:c r="B19" t="str">
        <x:v>Kitchen</x:v>
      </x:c>
      <x:c r="C19" t="str">
        <x:v>Extra base/wall cabinets allowance</x:v>
      </x:c>
      <x:c r="D19" t="str">
        <x:v>kitchen</x:v>
      </x:c>
      <x:c r="E19" s="31" t="n">
        <x:v>8000</x:v>
      </x:c>
      <x:c r="F19" s="31" t="n">
        <x:v>12000</x:v>
      </x:c>
      <x:c r="G19" s="31" t="n">
        <x:v>9000</x:v>
      </x:c>
      <x:c r="H19" s="31" t="n">
        <x:f>IF(Inputs!$B$5="Local / Low",E19,IF(Inputs!$B$5="Home Depot MX",F19,IF(Inputs!$B$5="MercadoLibre MX",G19,AVERAGE(E19:G19))))</x:f>
        <x:v>9666.666666666666</x:v>
      </x:c>
      <x:c r="I19" t="str">
        <x:v>Local estimate / online allowance</x:v>
      </x:c>
      <x:c r="J19" t="str">
        <x:v>To make kitchen usable</x:v>
      </x:c>
    </x:row>
    <x:row r="20">
      <x:c r="A20" t="str">
        <x:v>interior_door</x:v>
      </x:c>
      <x:c r="B20" t="str">
        <x:v>Openings</x:v>
      </x:c>
      <x:c r="C20" t="str">
        <x:v>Interior door allowance installed</x:v>
      </x:c>
      <x:c r="D20" t="str">
        <x:v>door</x:v>
      </x:c>
      <x:c r="E20" s="31" t="n">
        <x:v>1800</x:v>
      </x:c>
      <x:c r="F20" s="31" t="n">
        <x:v>2500</x:v>
      </x:c>
      <x:c r="G20" s="31" t="n">
        <x:v>2200</x:v>
      </x:c>
      <x:c r="H20" s="31" t="n">
        <x:f>IF(Inputs!$B$5="Local / Low",E20,IF(Inputs!$B$5="Home Depot MX",F20,IF(Inputs!$B$5="MercadoLibre MX",G20,AVERAGE(E20:G20))))</x:f>
        <x:v>2166.6666666666665</x:v>
      </x:c>
      <x:c r="I20" t="str">
        <x:v>Local estimate</x:v>
      </x:c>
      <x:c r="J20" t="str">
        <x:v>Bedroom/bath doors</x:v>
      </x:c>
    </x:row>
    <x:row r="21">
      <x:c r="A21" t="str">
        <x:v>exterior_door</x:v>
      </x:c>
      <x:c r="B21" t="str">
        <x:v>Openings</x:v>
      </x:c>
      <x:c r="C21" t="str">
        <x:v>Exterior steel/metal door allowance installed</x:v>
      </x:c>
      <x:c r="D21" t="str">
        <x:v>door</x:v>
      </x:c>
      <x:c r="E21" s="31" t="n">
        <x:v>3500</x:v>
      </x:c>
      <x:c r="F21" s="31" t="n">
        <x:v>5000</x:v>
      </x:c>
      <x:c r="G21" s="31" t="n">
        <x:v>4200</x:v>
      </x:c>
      <x:c r="H21" s="31" t="n">
        <x:f>IF(Inputs!$B$5="Local / Low",E21,IF(Inputs!$B$5="Home Depot MX",F21,IF(Inputs!$B$5="MercadoLibre MX",G21,AVERAGE(E21:G21))))</x:f>
        <x:v>4233.333333333333</x:v>
      </x:c>
      <x:c r="I21" t="str">
        <x:v>Local estimate</x:v>
      </x:c>
      <x:c r="J21" t="str">
        <x:v>Front/back doors</x:v>
      </x:c>
    </x:row>
    <x:row r="22">
      <x:c r="A22" t="str">
        <x:v>window</x:v>
      </x:c>
      <x:c r="B22" t="str">
        <x:v>Openings</x:v>
      </x:c>
      <x:c r="C22" t="str">
        <x:v>Basic aluminum window installed</x:v>
      </x:c>
      <x:c r="D22" t="str">
        <x:v>window</x:v>
      </x:c>
      <x:c r="E22" s="31" t="n">
        <x:v>2500</x:v>
      </x:c>
      <x:c r="F22" s="31" t="n">
        <x:v>3800</x:v>
      </x:c>
      <x:c r="G22" s="31" t="n">
        <x:v>3200</x:v>
      </x:c>
      <x:c r="H22" s="31" t="n">
        <x:f>IF(Inputs!$B$5="Local / Low",E22,IF(Inputs!$B$5="Home Depot MX",F22,IF(Inputs!$B$5="MercadoLibre MX",G22,AVERAGE(E22:G22))))</x:f>
        <x:v>3166.6666666666665</x:v>
      </x:c>
      <x:c r="I22" t="str">
        <x:v>Local estimate</x:v>
      </x:c>
      <x:c r="J22" t="str">
        <x:v>Rental-grade windows</x:v>
      </x:c>
    </x:row>
    <x:row r="23">
      <x:c r="A23" t="str">
        <x:v>electrical_point</x:v>
      </x:c>
      <x:c r="B23" t="str">
        <x:v>MEP</x:v>
      </x:c>
      <x:c r="C23" t="str">
        <x:v>Electrical point allowance</x:v>
      </x:c>
      <x:c r="D23" t="str">
        <x:v>point</x:v>
      </x:c>
      <x:c r="E23" s="31" t="n">
        <x:v>350</x:v>
      </x:c>
      <x:c r="F23" s="31" t="n">
        <x:v>500</x:v>
      </x:c>
      <x:c r="G23" s="31" t="n">
        <x:v>425</x:v>
      </x:c>
      <x:c r="H23" s="31" t="n">
        <x:f>IF(Inputs!$B$5="Local / Low",E23,IF(Inputs!$B$5="Home Depot MX",F23,IF(Inputs!$B$5="MercadoLibre MX",G23,AVERAGE(E23:G23))))</x:f>
        <x:v>425</x:v>
      </x:c>
      <x:c r="I23" t="str">
        <x:v>Local estimate</x:v>
      </x:c>
      <x:c r="J23" t="str">
        <x:v>Outlet/switch/light point</x:v>
      </x:c>
    </x:row>
    <x:row r="24">
      <x:c r="A24" t="str">
        <x:v>plumbing_point</x:v>
      </x:c>
      <x:c r="B24" t="str">
        <x:v>MEP</x:v>
      </x:c>
      <x:c r="C24" t="str">
        <x:v>Plumbing point allowance</x:v>
      </x:c>
      <x:c r="D24" t="str">
        <x:v>point</x:v>
      </x:c>
      <x:c r="E24" s="31" t="n">
        <x:v>650</x:v>
      </x:c>
      <x:c r="F24" s="31" t="n">
        <x:v>950</x:v>
      </x:c>
      <x:c r="G24" s="31" t="n">
        <x:v>800</x:v>
      </x:c>
      <x:c r="H24" s="31" t="n">
        <x:f>IF(Inputs!$B$5="Local / Low",E24,IF(Inputs!$B$5="Home Depot MX",F24,IF(Inputs!$B$5="MercadoLibre MX",G24,AVERAGE(E24:G24))))</x:f>
        <x:v>800</x:v>
      </x:c>
      <x:c r="I24" t="str">
        <x:v>Local estimate</x:v>
      </x:c>
      <x:c r="J24" t="str">
        <x:v>Supply/drain point</x:v>
      </x:c>
    </x:row>
    <x:row r="25">
      <x:c r="A25" t="str">
        <x:v>flooring_m2</x:v>
      </x:c>
      <x:c r="B25" t="str">
        <x:v>Finishes</x:v>
      </x:c>
      <x:c r="C25" t="str">
        <x:v>Basic tile/flooring material + install</x:v>
      </x:c>
      <x:c r="D25" t="str">
        <x:v>m²</x:v>
      </x:c>
      <x:c r="E25" s="31" t="n">
        <x:v>280</x:v>
      </x:c>
      <x:c r="F25" s="31" t="n">
        <x:v>420</x:v>
      </x:c>
      <x:c r="G25" s="31" t="n">
        <x:v>350</x:v>
      </x:c>
      <x:c r="H25" s="31" t="n">
        <x:f>IF(Inputs!$B$5="Local / Low",E25,IF(Inputs!$B$5="Home Depot MX",F25,IF(Inputs!$B$5="MercadoLibre MX",G25,AVERAGE(E25:G25))))</x:f>
        <x:v>350</x:v>
      </x:c>
      <x:c r="I25" t="str">
        <x:v>Local estimate</x:v>
      </x:c>
      <x:c r="J25" t="str">
        <x:v>Flooring</x:v>
      </x:c>
    </x:row>
    <x:row r="26">
      <x:c r="A26" t="str">
        <x:v>paint_m2</x:v>
      </x:c>
      <x:c r="B26" t="str">
        <x:v>Finishes</x:v>
      </x:c>
      <x:c r="C26" t="str">
        <x:v>Basic paint material + labor</x:v>
      </x:c>
      <x:c r="D26" t="str">
        <x:v>m²</x:v>
      </x:c>
      <x:c r="E26" s="31" t="n">
        <x:v>55</x:v>
      </x:c>
      <x:c r="F26" s="31" t="n">
        <x:v>80</x:v>
      </x:c>
      <x:c r="G26" s="31" t="n">
        <x:v>65</x:v>
      </x:c>
      <x:c r="H26" s="31" t="n">
        <x:f>IF(Inputs!$B$5="Local / Low",E26,IF(Inputs!$B$5="Home Depot MX",F26,IF(Inputs!$B$5="MercadoLibre MX",G26,AVERAGE(E26:G26))))</x:f>
        <x:v>66.66666666666667</x:v>
      </x:c>
      <x:c r="I26" t="str">
        <x:v>Local estimate</x:v>
      </x:c>
      <x:c r="J26" t="str">
        <x:v>Wall paint</x:v>
      </x:c>
    </x:row>
    <x:row r="27">
      <x:c r="A27" t="str">
        <x:v>misc_m2</x:v>
      </x:c>
      <x:c r="B27" t="str">
        <x:v>Other</x:v>
      </x:c>
      <x:c r="C27" t="str">
        <x:v>Misc screws, mortar, waterproofing, small hardware</x:v>
      </x:c>
      <x:c r="D27" t="str">
        <x:v>m² floor</x:v>
      </x:c>
      <x:c r="E27" s="31" t="n">
        <x:v>250</x:v>
      </x:c>
      <x:c r="F27" s="31" t="n">
        <x:v>350</x:v>
      </x:c>
      <x:c r="G27" s="31" t="n">
        <x:v>300</x:v>
      </x:c>
      <x:c r="H27" s="31" t="n">
        <x:f>IF(Inputs!$B$5="Local / Low",E27,IF(Inputs!$B$5="Home Depot MX",F27,IF(Inputs!$B$5="MercadoLibre MX",G27,AVERAGE(E27:G27))))</x:f>
        <x:v>300</x:v>
      </x:c>
      <x:c r="I27" t="str">
        <x:v>Local estimate</x:v>
      </x:c>
      <x:c r="J27" t="str">
        <x:v>Catch-all allowance</x:v>
      </x:c>
    </x:row>
    <x:row r="28">
      <x:c r="E28" s="31"/>
      <x:c r="F28" s="31"/>
      <x:c r="G28" s="31"/>
      <x:c r="H28" s="31"/>
    </x:row>
    <x:row r="29">
      <x:c r="E29" s="31"/>
      <x:c r="F29" s="31"/>
      <x:c r="G29" s="31"/>
      <x:c r="H29" s="31"/>
    </x:row>
    <x:row r="30">
      <x:c r="E30" s="31"/>
      <x:c r="F30" s="31"/>
      <x:c r="G30" s="31"/>
      <x:c r="H30" s="31"/>
    </x:row>
    <x:row r="31">
      <x:c r="E31" s="31"/>
      <x:c r="F31" s="31"/>
      <x:c r="G31" s="31"/>
      <x:c r="H31" s="31"/>
    </x:row>
    <x:row r="32">
      <x:c r="E32" s="31"/>
      <x:c r="F32" s="31"/>
      <x:c r="G32" s="31"/>
      <x:c r="H32" s="31"/>
    </x:row>
    <x:row r="33">
      <x:c r="E33" s="31"/>
      <x:c r="F33" s="31"/>
      <x:c r="G33" s="31"/>
      <x:c r="H33" s="31"/>
    </x:row>
    <x:row r="34">
      <x:c r="E34" s="31"/>
      <x:c r="F34" s="31"/>
      <x:c r="G34" s="31"/>
      <x:c r="H34" s="31"/>
    </x:row>
    <x:row r="35">
      <x:c r="E35" s="31"/>
      <x:c r="F35" s="31"/>
      <x:c r="G35" s="31"/>
      <x:c r="H35" s="31"/>
    </x:row>
    <x:row r="36">
      <x:c r="E36" s="31"/>
      <x:c r="F36" s="31"/>
      <x:c r="G36" s="31"/>
      <x:c r="H36" s="31"/>
    </x:row>
    <x:row r="37">
      <x:c r="E37" s="31"/>
      <x:c r="F37" s="31"/>
      <x:c r="G37" s="31"/>
      <x:c r="H37" s="31"/>
    </x:row>
    <x:row r="38">
      <x:c r="E38" s="31"/>
      <x:c r="F38" s="31"/>
      <x:c r="G38" s="31"/>
      <x:c r="H38" s="31"/>
    </x:row>
    <x:row r="39">
      <x:c r="E39" s="31"/>
      <x:c r="F39" s="31"/>
      <x:c r="G39" s="31"/>
      <x:c r="H39" s="31"/>
    </x:row>
    <x:row r="40">
      <x:c r="E40" s="31"/>
      <x:c r="F40" s="31"/>
      <x:c r="G40" s="31"/>
      <x:c r="H40" s="31"/>
    </x:row>
    <x:row r="41">
      <x:c r="E41" s="31"/>
      <x:c r="F41" s="31"/>
      <x:c r="G41" s="31"/>
      <x:c r="H41" s="31"/>
    </x:row>
    <x:row r="42">
      <x:c r="E42" s="31"/>
      <x:c r="F42" s="31"/>
      <x:c r="G42" s="31"/>
      <x:c r="H42" s="31"/>
    </x:row>
    <x:row r="43">
      <x:c r="E43" s="31"/>
      <x:c r="F43" s="31"/>
      <x:c r="G43" s="31"/>
      <x:c r="H43" s="31"/>
    </x:row>
    <x:row r="44">
      <x:c r="E44" s="31"/>
      <x:c r="F44" s="31"/>
      <x:c r="G44" s="31"/>
      <x:c r="H44" s="31"/>
    </x:row>
    <x:row r="45">
      <x:c r="E45" s="31"/>
      <x:c r="F45" s="31"/>
      <x:c r="G45" s="31"/>
      <x:c r="H45" s="31"/>
    </x:row>
    <x:row r="46">
      <x:c r="E46" s="31"/>
      <x:c r="F46" s="31"/>
      <x:c r="G46" s="31"/>
      <x:c r="H46" s="31"/>
    </x:row>
    <x:row r="47">
      <x:c r="E47" s="31"/>
      <x:c r="F47" s="31"/>
      <x:c r="G47" s="31"/>
      <x:c r="H47" s="31"/>
    </x:row>
    <x:row r="48">
      <x:c r="E48" s="31"/>
      <x:c r="F48" s="31"/>
      <x:c r="G48" s="31"/>
      <x:c r="H48" s="31"/>
    </x:row>
    <x:row r="49">
      <x:c r="E49" s="31"/>
      <x:c r="F49" s="31"/>
      <x:c r="G49" s="31"/>
      <x:c r="H49" s="31"/>
    </x:row>
    <x:row r="50">
      <x:c r="E50" s="31"/>
      <x:c r="F50" s="31"/>
      <x:c r="G50" s="31"/>
      <x:c r="H50" s="31"/>
    </x:row>
    <x:row r="51">
      <x:c r="E51" s="31"/>
      <x:c r="F51" s="31"/>
      <x:c r="G51" s="31"/>
      <x:c r="H51" s="31"/>
    </x:row>
    <x:row r="52">
      <x:c r="E52" s="31"/>
      <x:c r="F52" s="31"/>
      <x:c r="G52" s="31"/>
      <x:c r="H52" s="31"/>
    </x:row>
    <x:row r="53">
      <x:c r="E53" s="31"/>
      <x:c r="F53" s="31"/>
      <x:c r="G53" s="31"/>
      <x:c r="H53" s="31"/>
    </x:row>
    <x:row r="54">
      <x:c r="E54" s="31"/>
      <x:c r="F54" s="31"/>
      <x:c r="G54" s="31"/>
      <x:c r="H54" s="31"/>
    </x:row>
    <x:row r="55">
      <x:c r="E55" s="31"/>
      <x:c r="F55" s="31"/>
      <x:c r="G55" s="31"/>
      <x:c r="H55" s="31"/>
    </x:row>
    <x:row r="56">
      <x:c r="E56" s="31"/>
      <x:c r="F56" s="31"/>
      <x:c r="G56" s="31"/>
      <x:c r="H56" s="31"/>
    </x:row>
    <x:row r="57">
      <x:c r="E57" s="31"/>
      <x:c r="F57" s="31"/>
      <x:c r="G57" s="31"/>
      <x:c r="H57" s="31"/>
    </x:row>
    <x:row r="58">
      <x:c r="E58" s="31"/>
      <x:c r="F58" s="31"/>
      <x:c r="G58" s="31"/>
      <x:c r="H58" s="31"/>
    </x:row>
    <x:row r="59">
      <x:c r="E59" s="31"/>
      <x:c r="F59" s="31"/>
      <x:c r="G59" s="31"/>
      <x:c r="H59" s="31"/>
    </x:row>
    <x:row r="60">
      <x:c r="E60" s="31"/>
      <x:c r="F60" s="31"/>
      <x:c r="G60" s="31"/>
      <x:c r="H60" s="3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0310210381949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50" hidden="0" customWidth="1"/>
    <x:col min="9" max="9" width="18" hidden="0" customWidth="1"/>
  </x:cols>
  <x:sheetData>
    <x:row r="1">
      <x:c r="A1" s="8" t="str">
        <x:v>Auto Quantity + Cost Calculation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s="23" t="str">
        <x:v>Line</x:v>
      </x:c>
      <x:c r="B3" s="23" t="str">
        <x:v>Item ID</x:v>
      </x:c>
      <x:c r="C3" s="23" t="str">
        <x:v>Description</x:v>
      </x:c>
      <x:c r="D3" s="23" t="str">
        <x:v>Quantity</x:v>
      </x:c>
      <x:c r="E3" s="23" t="str">
        <x:v>Unit</x:v>
      </x:c>
      <x:c r="F3" s="23" t="str">
        <x:v>Unit Cost MXN</x:v>
      </x:c>
      <x:c r="G3" s="23" t="str">
        <x:v>Total MXN</x:v>
      </x:c>
      <x:c r="H3" s="23" t="str">
        <x:v>Notes</x:v>
      </x:c>
      <x:c r="I3" s="23" t="str">
        <x:v>Category</x:v>
      </x:c>
      <x:c r="J3" s="23"/>
    </x:row>
    <x:row r="4">
      <x:c r="A4" t="n">
        <x:v>1</x:v>
      </x:c>
      <x:c r="B4" t="str">
        <x:v>concrete_m3</x:v>
      </x:c>
      <x:c r="C4" t="str">
        <x:v>Footing concrete</x:v>
      </x:c>
      <x:c r="D4" s="33" t="n">
        <x:f>2*(Inputs!$B$8+Inputs!$B$9)*Inputs!$B$16*Inputs!$B$17</x:f>
        <x:v>5.04</x:v>
      </x:c>
      <x:c r="E4" t="str">
        <x:v>m³</x:v>
      </x:c>
      <x:c r="F4" s="31" t="n">
        <x:f>VLOOKUP(B4,'Source Costs'!$A$4:$H$100,8,FALSE)</x:f>
        <x:v>2833.3333333333335</x:v>
      </x:c>
      <x:c r="G4" s="31" t="n">
        <x:f>D4*F4*IF(OR(B4="footing_labor_m",B4="slab_labor_m2",B4="exterior_wall_labor_m2",B4="columns_beams_labor_m",B4="drywall_labor_m2"),Inputs!$B$40,1)</x:f>
        <x:v>14280</x:v>
      </x:c>
      <x:c r="H4" t="str">
        <x:v>Perimeter x footing width x depth</x:v>
      </x:c>
      <x:c r="I4" t="str">
        <x:f>VLOOKUP(B4,'Source Costs'!$A$4:$B$100,2,FALSE)</x:f>
        <x:v>Foundation</x:v>
      </x:c>
    </x:row>
    <x:row r="5">
      <x:c r="A5" t="n">
        <x:v>2</x:v>
      </x:c>
      <x:c r="B5" t="str">
        <x:v>concrete_m3</x:v>
      </x:c>
      <x:c r="C5" t="str">
        <x:v>Slab concrete</x:v>
      </x:c>
      <x:c r="D5" s="33" t="n">
        <x:f>Inputs!$B$8*Inputs!$B$9*Inputs!$B$18*Inputs!$B$11</x:f>
        <x:v>9</x:v>
      </x:c>
      <x:c r="E5" t="str">
        <x:v>m³</x:v>
      </x:c>
      <x:c r="F5" s="31" t="n">
        <x:f>VLOOKUP(B5,'Source Costs'!$A$4:$H$100,8,FALSE)</x:f>
        <x:v>2833.3333333333335</x:v>
      </x:c>
      <x:c r="G5" s="31" t="n">
        <x:f>D5*F5*IF(OR(B5="footing_labor_m",B5="slab_labor_m2",B5="exterior_wall_labor_m2",B5="columns_beams_labor_m",B5="drywall_labor_m2"),Inputs!$B$40,1)</x:f>
        <x:v>25500</x:v>
      </x:c>
      <x:c r="H5" t="str">
        <x:v>Floor area x slab thickness x floors</x:v>
      </x:c>
      <x:c r="I5" t="str">
        <x:f>VLOOKUP(B5,'Source Costs'!$A$4:$B$100,2,FALSE)</x:f>
        <x:v>Foundation</x:v>
      </x:c>
    </x:row>
    <x:row r="6">
      <x:c r="A6" t="n">
        <x:v>3</x:v>
      </x:c>
      <x:c r="B6" t="str">
        <x:v>rebar_kg</x:v>
      </x:c>
      <x:c r="C6" t="str">
        <x:v>Rebar allowance</x:v>
      </x:c>
      <x:c r="D6" s="33" t="n">
        <x:f>((2*(Inputs!$B$8+Inputs!$B$9))*12)+(Inputs!$B$8*Inputs!$B$9*8)</x:f>
        <x:v>1224</x:v>
      </x:c>
      <x:c r="E6" t="str">
        <x:v>kg</x:v>
      </x:c>
      <x:c r="F6" s="31" t="n">
        <x:f>VLOOKUP(B6,'Source Costs'!$A$4:$H$100,8,FALSE)</x:f>
        <x:v>27</x:v>
      </x:c>
      <x:c r="G6" s="31" t="n">
        <x:f>D6*F6*IF(OR(B6="footing_labor_m",B6="slab_labor_m2",B6="exterior_wall_labor_m2",B6="columns_beams_labor_m",B6="drywall_labor_m2"),Inputs!$B$40,1)</x:f>
        <x:v>33048</x:v>
      </x:c>
      <x:c r="H6" t="str">
        <x:v>Rough steel allowance; replace if engineer gives schedule</x:v>
      </x:c>
      <x:c r="I6" t="str">
        <x:f>VLOOKUP(B6,'Source Costs'!$A$4:$B$100,2,FALSE)</x:f>
        <x:v>Foundation</x:v>
      </x:c>
    </x:row>
    <x:row r="7">
      <x:c r="A7" t="n">
        <x:v>4</x:v>
      </x:c>
      <x:c r="B7" t="str">
        <x:v>footing_labor_m</x:v>
      </x:c>
      <x:c r="C7" t="str">
        <x:v>Footing/foundation labor</x:v>
      </x:c>
      <x:c r="D7" s="33" t="n">
        <x:f>2*(Inputs!$B$8+Inputs!$B$9)</x:f>
        <x:v>42</x:v>
      </x:c>
      <x:c r="E7" t="str">
        <x:v>m</x:v>
      </x:c>
      <x:c r="F7" s="31" t="n">
        <x:f>VLOOKUP(B7,'Source Costs'!$A$4:$H$100,8,FALSE)</x:f>
        <x:v>206.66666666666666</x:v>
      </x:c>
      <x:c r="G7" s="31" t="n">
        <x:f>D7*F7*IF(OR(B7="footing_labor_m",B7="slab_labor_m2",B7="exterior_wall_labor_m2",B7="columns_beams_labor_m",B7="drywall_labor_m2"),Inputs!$B$40,1)</x:f>
        <x:v>8680</x:v>
      </x:c>
      <x:c r="H7" t="str">
        <x:v>Perimeter labor</x:v>
      </x:c>
      <x:c r="I7" t="str">
        <x:f>VLOOKUP(B7,'Source Costs'!$A$4:$B$100,2,FALSE)</x:f>
        <x:v>Labor</x:v>
      </x:c>
    </x:row>
    <x:row r="8">
      <x:c r="A8" t="n">
        <x:v>5</x:v>
      </x:c>
      <x:c r="B8" t="str">
        <x:v>slab_labor_m2</x:v>
      </x:c>
      <x:c r="C8" t="str">
        <x:v>Slab labor</x:v>
      </x:c>
      <x:c r="D8" s="33" t="n">
        <x:f>Inputs!$B$8*Inputs!$B$9*Inputs!$B$11</x:f>
        <x:v>90</x:v>
      </x:c>
      <x:c r="E8" t="str">
        <x:v>m²</x:v>
      </x:c>
      <x:c r="F8" s="31" t="n">
        <x:f>VLOOKUP(B8,'Source Costs'!$A$4:$H$100,8,FALSE)</x:f>
        <x:v>140</x:v>
      </x:c>
      <x:c r="G8" s="31" t="n">
        <x:f>D8*F8*IF(OR(B8="footing_labor_m",B8="slab_labor_m2",B8="exterior_wall_labor_m2",B8="columns_beams_labor_m",B8="drywall_labor_m2"),Inputs!$B$40,1)</x:f>
        <x:v>12600</x:v>
      </x:c>
      <x:c r="H8" t="str">
        <x:v>Floor slab area</x:v>
      </x:c>
      <x:c r="I8" t="str">
        <x:f>VLOOKUP(B8,'Source Costs'!$A$4:$B$100,2,FALSE)</x:f>
        <x:v>Labor</x:v>
      </x:c>
    </x:row>
    <x:row r="9">
      <x:c r="A9" t="n">
        <x:v>6</x:v>
      </x:c>
      <x:c r="B9" t="str">
        <x:v>exterior_wall_m2</x:v>
      </x:c>
      <x:c r="C9" t="str">
        <x:v>Exterior wall material</x:v>
      </x:c>
      <x:c r="D9" s="33" t="n">
        <x:f>2*(Inputs!$B$8+Inputs!$B$9)*Inputs!$B$10*Inputs!$B$11</x:f>
        <x:v>126</x:v>
      </x:c>
      <x:c r="E9" t="str">
        <x:v>m²</x:v>
      </x:c>
      <x:c r="F9" s="31" t="n">
        <x:f>VLOOKUP(B9,'Source Costs'!$A$4:$H$100,8,FALSE)</x:f>
        <x:v>300</x:v>
      </x:c>
      <x:c r="G9" s="31" t="n">
        <x:f>D9*F9*IF(OR(B9="footing_labor_m",B9="slab_labor_m2",B9="exterior_wall_labor_m2",B9="columns_beams_labor_m",B9="drywall_labor_m2"),Inputs!$B$40,1)</x:f>
        <x:v>37800</x:v>
      </x:c>
      <x:c r="H9" t="str">
        <x:v>Perimeter x wall height x floors</x:v>
      </x:c>
      <x:c r="I9" t="str">
        <x:f>VLOOKUP(B9,'Source Costs'!$A$4:$B$100,2,FALSE)</x:f>
        <x:v>Exterior Shell</x:v>
      </x:c>
    </x:row>
    <x:row r="10">
      <x:c r="A10" t="n">
        <x:v>7</x:v>
      </x:c>
      <x:c r="B10" t="str">
        <x:v>exterior_wall_labor_m2</x:v>
      </x:c>
      <x:c r="C10" t="str">
        <x:v>Exterior wall labor</x:v>
      </x:c>
      <x:c r="D10" s="33" t="n">
        <x:f>2*(Inputs!$B$8+Inputs!$B$9)*Inputs!$B$10*Inputs!$B$11</x:f>
        <x:v>126</x:v>
      </x:c>
      <x:c r="E10" t="str">
        <x:v>m²</x:v>
      </x:c>
      <x:c r="F10" s="31" t="n">
        <x:f>VLOOKUP(B10,'Source Costs'!$A$4:$H$100,8,FALSE)</x:f>
        <x:v>140</x:v>
      </x:c>
      <x:c r="G10" s="31" t="n">
        <x:f>D10*F10*IF(OR(B10="footing_labor_m",B10="slab_labor_m2",B10="exterior_wall_labor_m2",B10="columns_beams_labor_m",B10="drywall_labor_m2"),Inputs!$B$40,1)</x:f>
        <x:v>17640</x:v>
      </x:c>
      <x:c r="H10" t="str">
        <x:v>Perimeter x wall height x floors</x:v>
      </x:c>
      <x:c r="I10" t="str">
        <x:f>VLOOKUP(B10,'Source Costs'!$A$4:$B$100,2,FALSE)</x:f>
        <x:v>Labor</x:v>
      </x:c>
    </x:row>
    <x:row r="11">
      <x:c r="A11" t="n">
        <x:v>8</x:v>
      </x:c>
      <x:c r="B11" t="str">
        <x:v>columns_beams_m</x:v>
      </x:c>
      <x:c r="C11" t="str">
        <x:v>Columns/tie beams material</x:v>
      </x:c>
      <x:c r="D11" s="33" t="n">
        <x:f>2*(Inputs!$B$8+Inputs!$B$9)+((ROUNDUP((2*(Inputs!$B$8+Inputs!$B$9))/3,0)+4)*Inputs!$B$10)</x:f>
        <x:v>96</x:v>
      </x:c>
      <x:c r="E11" t="str">
        <x:v>m</x:v>
      </x:c>
      <x:c r="F11" s="31" t="n">
        <x:f>VLOOKUP(B11,'Source Costs'!$A$4:$H$100,8,FALSE)</x:f>
        <x:v>310</x:v>
      </x:c>
      <x:c r="G11" s="31" t="n">
        <x:f>D11*F11*IF(OR(B11="footing_labor_m",B11="slab_labor_m2",B11="exterior_wall_labor_m2",B11="columns_beams_labor_m",B11="drywall_labor_m2"),Inputs!$B$40,1)</x:f>
        <x:v>29760</x:v>
      </x:c>
      <x:c r="H11" t="str">
        <x:v>Perimeter tie beams + columns about every 3m</x:v>
      </x:c>
      <x:c r="I11" t="str">
        <x:f>VLOOKUP(B11,'Source Costs'!$A$4:$B$100,2,FALSE)</x:f>
        <x:v>Exterior Shell</x:v>
      </x:c>
    </x:row>
    <x:row r="12">
      <x:c r="A12" t="n">
        <x:v>9</x:v>
      </x:c>
      <x:c r="B12" t="str">
        <x:v>columns_beams_labor_m</x:v>
      </x:c>
      <x:c r="C12" t="str">
        <x:v>Columns/tie beams labor</x:v>
      </x:c>
      <x:c r="D12" s="33" t="n">
        <x:f>2*(Inputs!$B$8+Inputs!$B$9)+((ROUNDUP((2*(Inputs!$B$8+Inputs!$B$9))/3,0)+4)*Inputs!$B$10)</x:f>
        <x:v>96</x:v>
      </x:c>
      <x:c r="E12" t="str">
        <x:v>m</x:v>
      </x:c>
      <x:c r="F12" s="31" t="n">
        <x:f>VLOOKUP(B12,'Source Costs'!$A$4:$H$100,8,FALSE)</x:f>
        <x:v>115</x:v>
      </x:c>
      <x:c r="G12" s="31" t="n">
        <x:f>D12*F12*IF(OR(B12="footing_labor_m",B12="slab_labor_m2",B12="exterior_wall_labor_m2",B12="columns_beams_labor_m",B12="drywall_labor_m2"),Inputs!$B$40,1)</x:f>
        <x:v>11040</x:v>
      </x:c>
      <x:c r="H12" t="str">
        <x:v>Labor for columns/beams</x:v>
      </x:c>
      <x:c r="I12" t="str">
        <x:f>VLOOKUP(B12,'Source Costs'!$A$4:$B$100,2,FALSE)</x:f>
        <x:v>Labor</x:v>
      </x:c>
    </x:row>
    <x:row r="13">
      <x:c r="A13" t="n">
        <x:v>10</x:v>
      </x:c>
      <x:c r="B13" t="str">
        <x:v>roof_m2</x:v>
      </x:c>
      <x:c r="C13" t="str">
        <x:v>Roof</x:v>
      </x:c>
      <x:c r="D13" s="33" t="n">
        <x:f>((Inputs!$B$8+(2*Inputs!$B$12))*(Inputs!$B$9+(2*Inputs!$B$12)))</x:f>
        <x:v>102.96</x:v>
      </x:c>
      <x:c r="E13" t="str">
        <x:v>m²</x:v>
      </x:c>
      <x:c r="F13" s="31" t="n">
        <x:f>VLOOKUP(B13,'Source Costs'!$A$4:$H$100,8,FALSE)</x:f>
        <x:v>966.6666666666666</x:v>
      </x:c>
      <x:c r="G13" s="31" t="n">
        <x:f>D13*F13*IF(OR(B13="footing_labor_m",B13="slab_labor_m2",B13="exterior_wall_labor_m2",B13="columns_beams_labor_m",B13="drywall_labor_m2"),Inputs!$B$40,1)</x:f>
        <x:v>99527.99999999999</x:v>
      </x:c>
      <x:c r="H13" t="str">
        <x:v>Length/width plus overhang</x:v>
      </x:c>
      <x:c r="I13" t="str">
        <x:f>VLOOKUP(B13,'Source Costs'!$A$4:$B$100,2,FALSE)</x:f>
        <x:v>Roof</x:v>
      </x:c>
    </x:row>
    <x:row r="14">
      <x:c r="A14" t="n">
        <x:v>11</x:v>
      </x:c>
      <x:c r="B14" t="str">
        <x:v>drywall_panel</x:v>
      </x:c>
      <x:c r="C14" t="str">
        <x:v>Drywall panels</x:v>
      </x:c>
      <x:c r="D14" s="33" t="n">
        <x:f>ROUNDUP((Inputs!$B$24*Inputs!$B$10*2*(1+Inputs!$B$13))/(1.22*2.44),0)</x:f>
        <x:v>100</x:v>
      </x:c>
      <x:c r="E14" t="str">
        <x:v>sheets</x:v>
      </x:c>
      <x:c r="F14" s="31" t="n">
        <x:f>VLOOKUP(B14,'Source Costs'!$A$4:$H$100,8,FALSE)</x:f>
        <x:v>252</x:v>
      </x:c>
      <x:c r="G14" s="31" t="n">
        <x:f>D14*F14*IF(OR(B14="footing_labor_m",B14="slab_labor_m2",B14="exterior_wall_labor_m2",B14="columns_beams_labor_m",B14="drywall_labor_m2"),Inputs!$B$40,1)</x:f>
        <x:v>25200</x:v>
      </x:c>
      <x:c r="H14" t="str">
        <x:v>Interior walls both sides</x:v>
      </x:c>
      <x:c r="I14" t="str">
        <x:f>VLOOKUP(B14,'Source Costs'!$A$4:$B$100,2,FALSE)</x:f>
        <x:v>Interior Walls</x:v>
      </x:c>
    </x:row>
    <x:row r="15">
      <x:c r="A15" t="n">
        <x:v>12</x:v>
      </x:c>
      <x:c r="B15" t="str">
        <x:v>metal_stud_3m</x:v>
      </x:c>
      <x:c r="C15" t="str">
        <x:v>Metal studs/tracks</x:v>
      </x:c>
      <x:c r="D15" s="33" t="n">
        <x:f>ROUNDUP(((Inputs!$B$24/0.61)+((Inputs!$B$24*2)/3.05))*1.15,0)</x:f>
        <x:v>119</x:v>
      </x:c>
      <x:c r="E15" t="str">
        <x:v>pieces</x:v>
      </x:c>
      <x:c r="F15" s="31" t="n">
        <x:f>VLOOKUP(B15,'Source Costs'!$A$4:$H$100,8,FALSE)</x:f>
        <x:v>102.66666666666667</x:v>
      </x:c>
      <x:c r="G15" s="31" t="n">
        <x:f>D15*F15*IF(OR(B15="footing_labor_m",B15="slab_labor_m2",B15="exterior_wall_labor_m2",B15="columns_beams_labor_m",B15="drywall_labor_m2"),Inputs!$B$40,1)</x:f>
        <x:v>12217.333333333334</x:v>
      </x:c>
      <x:c r="H15" t="str">
        <x:v>Studs at 61cm + top/bottom track</x:v>
      </x:c>
      <x:c r="I15" t="str">
        <x:f>VLOOKUP(B15,'Source Costs'!$A$4:$B$100,2,FALSE)</x:f>
        <x:v>Interior Walls</x:v>
      </x:c>
    </x:row>
    <x:row r="16">
      <x:c r="A16" t="n">
        <x:v>13</x:v>
      </x:c>
      <x:c r="B16" t="str">
        <x:v>drywall_labor_m2</x:v>
      </x:c>
      <x:c r="C16" t="str">
        <x:v>Drywall labor</x:v>
      </x:c>
      <x:c r="D16" s="33" t="n">
        <x:f>Inputs!$B$24*Inputs!$B$10*2</x:f>
        <x:v>270</x:v>
      </x:c>
      <x:c r="E16" t="str">
        <x:v>m²</x:v>
      </x:c>
      <x:c r="F16" s="31" t="n">
        <x:f>VLOOKUP(B16,'Source Costs'!$A$4:$H$100,8,FALSE)</x:f>
        <x:v>153.33333333333334</x:v>
      </x:c>
      <x:c r="G16" s="31" t="n">
        <x:f>D16*F16*IF(OR(B16="footing_labor_m",B16="slab_labor_m2",B16="exterior_wall_labor_m2",B16="columns_beams_labor_m",B16="drywall_labor_m2"),Inputs!$B$40,1)</x:f>
        <x:v>41400</x:v>
      </x:c>
      <x:c r="H16" t="str">
        <x:v>Both sides of partition walls</x:v>
      </x:c>
      <x:c r="I16" t="str">
        <x:f>VLOOKUP(B16,'Source Costs'!$A$4:$B$100,2,FALSE)</x:f>
        <x:v>Labor</x:v>
      </x:c>
    </x:row>
    <x:row r="17">
      <x:c r="A17" t="n">
        <x:v>14</x:v>
      </x:c>
      <x:c r="B17" t="str">
        <x:v>bathroom_package</x:v>
      </x:c>
      <x:c r="C17" t="str">
        <x:v>Bathroom toilet + sink package</x:v>
      </x:c>
      <x:c r="D17" s="33" t="n">
        <x:f>Inputs!$B$27</x:f>
        <x:v>1</x:v>
      </x:c>
      <x:c r="E17" t="str">
        <x:v>bathroom</x:v>
      </x:c>
      <x:c r="F17" s="31" t="n">
        <x:f>VLOOKUP(B17,'Source Costs'!$A$4:$H$100,8,FALSE)</x:f>
        <x:v>3779.3333333333335</x:v>
      </x:c>
      <x:c r="G17" s="31" t="n">
        <x:f>D17*F17*IF(OR(B17="footing_labor_m",B17="slab_labor_m2",B17="exterior_wall_labor_m2",B17="columns_beams_labor_m",B17="drywall_labor_m2"),Inputs!$B$40,1)</x:f>
        <x:v>3779.3333333333335</x:v>
      </x:c>
      <x:c r="H17" t="str">
        <x:v>One package per bathroom</x:v>
      </x:c>
      <x:c r="I17" t="str">
        <x:f>VLOOKUP(B17,'Source Costs'!$A$4:$B$100,2,FALSE)</x:f>
        <x:v>Fixtures</x:v>
      </x:c>
    </x:row>
    <x:row r="18">
      <x:c r="A18" t="n">
        <x:v>15</x:v>
      </x:c>
      <x:c r="B18" t="str">
        <x:v>shower_package</x:v>
      </x:c>
      <x:c r="C18" t="str">
        <x:v>Shower package</x:v>
      </x:c>
      <x:c r="D18" s="33" t="n">
        <x:f>Inputs!$B$27</x:f>
        <x:v>1</x:v>
      </x:c>
      <x:c r="E18" t="str">
        <x:v>bathroom</x:v>
      </x:c>
      <x:c r="F18" s="31" t="n">
        <x:f>VLOOKUP(B18,'Source Costs'!$A$4:$H$100,8,FALSE)</x:f>
        <x:v>3000</x:v>
      </x:c>
      <x:c r="G18" s="31" t="n">
        <x:f>D18*F18*IF(OR(B18="footing_labor_m",B18="slab_labor_m2",B18="exterior_wall_labor_m2",B18="columns_beams_labor_m",B18="drywall_labor_m2"),Inputs!$B$40,1)</x:f>
        <x:v>3000</x:v>
      </x:c>
      <x:c r="H18" t="str">
        <x:v>One shower allowance per bathroom</x:v>
      </x:c>
      <x:c r="I18" t="str">
        <x:f>VLOOKUP(B18,'Source Costs'!$A$4:$B$100,2,FALSE)</x:f>
        <x:v>Fixtures</x:v>
      </x:c>
    </x:row>
    <x:row r="19">
      <x:c r="A19" t="n">
        <x:v>16</x:v>
      </x:c>
      <x:c r="B19" t="str">
        <x:v>kitchen_cabinet_sink</x:v>
      </x:c>
      <x:c r="C19" t="str">
        <x:v>Kitchen sink/cabinet package</x:v>
      </x:c>
      <x:c r="D19" s="33" t="n">
        <x:f>Inputs!$B$28</x:f>
        <x:v>1</x:v>
      </x:c>
      <x:c r="E19" t="str">
        <x:v>kitchen</x:v>
      </x:c>
      <x:c r="F19" s="31" t="n">
        <x:f>VLOOKUP(B19,'Source Costs'!$A$4:$H$100,8,FALSE)</x:f>
        <x:v>4666</x:v>
      </x:c>
      <x:c r="G19" s="31" t="n">
        <x:f>D19*F19*IF(OR(B19="footing_labor_m",B19="slab_labor_m2",B19="exterior_wall_labor_m2",B19="columns_beams_labor_m",B19="drywall_labor_m2"),Inputs!$B$40,1)</x:f>
        <x:v>4666</x:v>
      </x:c>
      <x:c r="H19" t="str">
        <x:v>Basic rental kitchen</x:v>
      </x:c>
      <x:c r="I19" t="str">
        <x:f>VLOOKUP(B19,'Source Costs'!$A$4:$B$100,2,FALSE)</x:f>
        <x:v>Kitchen</x:v>
      </x:c>
    </x:row>
    <x:row r="20">
      <x:c r="A20" t="n">
        <x:v>17</x:v>
      </x:c>
      <x:c r="B20" t="str">
        <x:v>kitchen_extra_cabinets</x:v>
      </x:c>
      <x:c r="C20" t="str">
        <x:v>Kitchen extra cabinets</x:v>
      </x:c>
      <x:c r="D20" s="33" t="n">
        <x:f>Inputs!$B$28</x:f>
        <x:v>1</x:v>
      </x:c>
      <x:c r="E20" t="str">
        <x:v>kitchen</x:v>
      </x:c>
      <x:c r="F20" s="31" t="n">
        <x:f>VLOOKUP(B20,'Source Costs'!$A$4:$H$100,8,FALSE)</x:f>
        <x:v>9666.666666666666</x:v>
      </x:c>
      <x:c r="G20" s="31" t="n">
        <x:f>D20*F20*IF(OR(B20="footing_labor_m",B20="slab_labor_m2",B20="exterior_wall_labor_m2",B20="columns_beams_labor_m",B20="drywall_labor_m2"),Inputs!$B$40,1)</x:f>
        <x:v>9666.666666666666</x:v>
      </x:c>
      <x:c r="H20" t="str">
        <x:v>Extra storage/counter allowance</x:v>
      </x:c>
      <x:c r="I20" t="str">
        <x:f>VLOOKUP(B20,'Source Costs'!$A$4:$B$100,2,FALSE)</x:f>
        <x:v>Kitchen</x:v>
      </x:c>
    </x:row>
    <x:row r="21">
      <x:c r="A21" t="n">
        <x:v>18</x:v>
      </x:c>
      <x:c r="B21" t="str">
        <x:v>interior_door</x:v>
      </x:c>
      <x:c r="C21" t="str">
        <x:v>Interior doors</x:v>
      </x:c>
      <x:c r="D21" s="33" t="n">
        <x:f>Inputs!$B$29</x:f>
        <x:v>5</x:v>
      </x:c>
      <x:c r="E21" t="str">
        <x:v>door</x:v>
      </x:c>
      <x:c r="F21" s="31" t="n">
        <x:f>VLOOKUP(B21,'Source Costs'!$A$4:$H$100,8,FALSE)</x:f>
        <x:v>2166.6666666666665</x:v>
      </x:c>
      <x:c r="G21" s="31" t="n">
        <x:f>D21*F21*IF(OR(B21="footing_labor_m",B21="slab_labor_m2",B21="exterior_wall_labor_m2",B21="columns_beams_labor_m",B21="drywall_labor_m2"),Inputs!$B$40,1)</x:f>
        <x:v>10833.333333333332</x:v>
      </x:c>
      <x:c r="H21" t="str">
        <x:v>Editable count</x:v>
      </x:c>
      <x:c r="I21" t="str">
        <x:f>VLOOKUP(B21,'Source Costs'!$A$4:$B$100,2,FALSE)</x:f>
        <x:v>Openings</x:v>
      </x:c>
    </x:row>
    <x:row r="22">
      <x:c r="A22" t="n">
        <x:v>19</x:v>
      </x:c>
      <x:c r="B22" t="str">
        <x:v>exterior_door</x:v>
      </x:c>
      <x:c r="C22" t="str">
        <x:v>Exterior doors</x:v>
      </x:c>
      <x:c r="D22" s="33" t="n">
        <x:f>Inputs!$B$30</x:f>
        <x:v>2</x:v>
      </x:c>
      <x:c r="E22" t="str">
        <x:v>door</x:v>
      </x:c>
      <x:c r="F22" s="31" t="n">
        <x:f>VLOOKUP(B22,'Source Costs'!$A$4:$H$100,8,FALSE)</x:f>
        <x:v>4233.333333333333</x:v>
      </x:c>
      <x:c r="G22" s="31" t="n">
        <x:f>D22*F22*IF(OR(B22="footing_labor_m",B22="slab_labor_m2",B22="exterior_wall_labor_m2",B22="columns_beams_labor_m",B22="drywall_labor_m2"),Inputs!$B$40,1)</x:f>
        <x:v>8466.666666666666</x:v>
      </x:c>
      <x:c r="H22" t="str">
        <x:v>Editable count</x:v>
      </x:c>
      <x:c r="I22" t="str">
        <x:f>VLOOKUP(B22,'Source Costs'!$A$4:$B$100,2,FALSE)</x:f>
        <x:v>Openings</x:v>
      </x:c>
    </x:row>
    <x:row r="23">
      <x:c r="A23" t="n">
        <x:v>20</x:v>
      </x:c>
      <x:c r="B23" t="str">
        <x:v>window</x:v>
      </x:c>
      <x:c r="C23" t="str">
        <x:v>Windows</x:v>
      </x:c>
      <x:c r="D23" s="33" t="n">
        <x:f>Inputs!$B$31</x:f>
        <x:v>6</x:v>
      </x:c>
      <x:c r="E23" t="str">
        <x:v>window</x:v>
      </x:c>
      <x:c r="F23" s="31" t="n">
        <x:f>VLOOKUP(B23,'Source Costs'!$A$4:$H$100,8,FALSE)</x:f>
        <x:v>3166.6666666666665</x:v>
      </x:c>
      <x:c r="G23" s="31" t="n">
        <x:f>D23*F23*IF(OR(B23="footing_labor_m",B23="slab_labor_m2",B23="exterior_wall_labor_m2",B23="columns_beams_labor_m",B23="drywall_labor_m2"),Inputs!$B$40,1)</x:f>
        <x:v>19000</x:v>
      </x:c>
      <x:c r="H23" t="str">
        <x:v>Editable count</x:v>
      </x:c>
      <x:c r="I23" t="str">
        <x:f>VLOOKUP(B23,'Source Costs'!$A$4:$B$100,2,FALSE)</x:f>
        <x:v>Openings</x:v>
      </x:c>
    </x:row>
    <x:row r="24">
      <x:c r="A24" t="n">
        <x:v>21</x:v>
      </x:c>
      <x:c r="B24" t="str">
        <x:v>electrical_point</x:v>
      </x:c>
      <x:c r="C24" t="str">
        <x:v>Electrical</x:v>
      </x:c>
      <x:c r="D24" s="33" t="n">
        <x:f>Inputs!$B$34</x:f>
        <x:v>30</x:v>
      </x:c>
      <x:c r="E24" t="str">
        <x:v>point</x:v>
      </x:c>
      <x:c r="F24" s="31" t="n">
        <x:f>VLOOKUP(B24,'Source Costs'!$A$4:$H$100,8,FALSE)</x:f>
        <x:v>425</x:v>
      </x:c>
      <x:c r="G24" s="31" t="n">
        <x:f>D24*F24*IF(OR(B24="footing_labor_m",B24="slab_labor_m2",B24="exterior_wall_labor_m2",B24="columns_beams_labor_m",B24="drywall_labor_m2"),Inputs!$B$40,1)</x:f>
        <x:v>12750</x:v>
      </x:c>
      <x:c r="H24" t="str">
        <x:v>Editable count</x:v>
      </x:c>
      <x:c r="I24" t="str">
        <x:f>VLOOKUP(B24,'Source Costs'!$A$4:$B$100,2,FALSE)</x:f>
        <x:v>MEP</x:v>
      </x:c>
    </x:row>
    <x:row r="25">
      <x:c r="A25" t="n">
        <x:v>22</x:v>
      </x:c>
      <x:c r="B25" t="str">
        <x:v>plumbing_point</x:v>
      </x:c>
      <x:c r="C25" t="str">
        <x:v>Plumbing</x:v>
      </x:c>
      <x:c r="D25" s="33" t="n">
        <x:f>Inputs!$B$35</x:f>
        <x:v>8</x:v>
      </x:c>
      <x:c r="E25" t="str">
        <x:v>point</x:v>
      </x:c>
      <x:c r="F25" s="31" t="n">
        <x:f>VLOOKUP(B25,'Source Costs'!$A$4:$H$100,8,FALSE)</x:f>
        <x:v>800</x:v>
      </x:c>
      <x:c r="G25" s="31" t="n">
        <x:f>D25*F25*IF(OR(B25="footing_labor_m",B25="slab_labor_m2",B25="exterior_wall_labor_m2",B25="columns_beams_labor_m",B25="drywall_labor_m2"),Inputs!$B$40,1)</x:f>
        <x:v>6400</x:v>
      </x:c>
      <x:c r="H25" t="str">
        <x:v>Editable count</x:v>
      </x:c>
      <x:c r="I25" t="str">
        <x:f>VLOOKUP(B25,'Source Costs'!$A$4:$B$100,2,FALSE)</x:f>
        <x:v>MEP</x:v>
      </x:c>
    </x:row>
    <x:row r="26">
      <x:c r="A26" t="n">
        <x:v>23</x:v>
      </x:c>
      <x:c r="B26" t="str">
        <x:v>flooring_m2</x:v>
      </x:c>
      <x:c r="C26" t="str">
        <x:v>Flooring</x:v>
      </x:c>
      <x:c r="D26" s="33" t="n">
        <x:f>Inputs!$B$8*Inputs!$B$9*Inputs!$B$11*Inputs!$B$36</x:f>
        <x:v>90</x:v>
      </x:c>
      <x:c r="E26" t="str">
        <x:v>m²</x:v>
      </x:c>
      <x:c r="F26" s="31" t="n">
        <x:f>VLOOKUP(B26,'Source Costs'!$A$4:$H$100,8,FALSE)</x:f>
        <x:v>350</x:v>
      </x:c>
      <x:c r="G26" s="31" t="n">
        <x:f>D26*F26*IF(OR(B26="footing_labor_m",B26="slab_labor_m2",B26="exterior_wall_labor_m2",B26="columns_beams_labor_m",B26="drywall_labor_m2"),Inputs!$B$40,1)</x:f>
        <x:v>31500</x:v>
      </x:c>
      <x:c r="H26" t="str">
        <x:v>Floor area x multiplier</x:v>
      </x:c>
      <x:c r="I26" t="str">
        <x:f>VLOOKUP(B26,'Source Costs'!$A$4:$B$100,2,FALSE)</x:f>
        <x:v>Finishes</x:v>
      </x:c>
    </x:row>
    <x:row r="27">
      <x:c r="A27" t="n">
        <x:v>24</x:v>
      </x:c>
      <x:c r="B27" t="str">
        <x:v>paint_m2</x:v>
      </x:c>
      <x:c r="C27" t="str">
        <x:v>Paint</x:v>
      </x:c>
      <x:c r="D27" s="33" t="n">
        <x:f>IF(Inputs!$B$37="Yes",(2*(Inputs!$B$8+Inputs!$B$9)*Inputs!$B$10*2)+(Inputs!$B$24*Inputs!$B$10*2),0)</x:f>
        <x:v>522</x:v>
      </x:c>
      <x:c r="E27" t="str">
        <x:v>m²</x:v>
      </x:c>
      <x:c r="F27" s="31" t="n">
        <x:f>VLOOKUP(B27,'Source Costs'!$A$4:$H$100,8,FALSE)</x:f>
        <x:v>66.66666666666667</x:v>
      </x:c>
      <x:c r="G27" s="31" t="n">
        <x:f>D27*F27*IF(OR(B27="footing_labor_m",B27="slab_labor_m2",B27="exterior_wall_labor_m2",B27="columns_beams_labor_m",B27="drywall_labor_m2"),Inputs!$B$40,1)</x:f>
        <x:v>34800</x:v>
      </x:c>
      <x:c r="H27" t="str">
        <x:v>Exterior/interior surfaces rough allowance</x:v>
      </x:c>
      <x:c r="I27" t="str">
        <x:f>VLOOKUP(B27,'Source Costs'!$A$4:$B$100,2,FALSE)</x:f>
        <x:v>Finishes</x:v>
      </x:c>
    </x:row>
    <x:row r="28">
      <x:c r="A28" t="n">
        <x:v>25</x:v>
      </x:c>
      <x:c r="B28" t="str">
        <x:v>misc_m2</x:v>
      </x:c>
      <x:c r="C28" t="str">
        <x:v>Miscellaneous</x:v>
      </x:c>
      <x:c r="D28" s="33" t="n">
        <x:f>Inputs!$B$8*Inputs!$B$9*Inputs!$B$11</x:f>
        <x:v>90</x:v>
      </x:c>
      <x:c r="E28" t="str">
        <x:v>m² floor</x:v>
      </x:c>
      <x:c r="F28" s="31" t="n">
        <x:f>VLOOKUP(B28,'Source Costs'!$A$4:$H$100,8,FALSE)</x:f>
        <x:v>300</x:v>
      </x:c>
      <x:c r="G28" s="31" t="n">
        <x:f>D28*F28*IF(OR(B28="footing_labor_m",B28="slab_labor_m2",B28="exterior_wall_labor_m2",B28="columns_beams_labor_m",B28="drywall_labor_m2"),Inputs!$B$40,1)</x:f>
        <x:v>27000</x:v>
      </x:c>
      <x:c r="H28" t="str">
        <x:v>Catch-all per floor area</x:v>
      </x:c>
      <x:c r="I28" t="str">
        <x:f>VLOOKUP(B28,'Source Costs'!$A$4:$B$100,2,FALSE)</x:f>
        <x:v>Other</x:v>
      </x:c>
    </x:row>
    <x:row r="29">
      <x:c r="D29" s="33"/>
      <x:c r="F29" s="31"/>
      <x:c r="G29" s="31"/>
    </x:row>
    <x:row r="30">
      <x:c r="D30" s="33"/>
      <x:c r="F30" s="31"/>
      <x:c r="G30" s="31"/>
    </x:row>
    <x:row r="31">
      <x:c r="D31" s="33"/>
      <x:c r="F31" s="31"/>
      <x:c r="G31" s="31"/>
    </x:row>
    <x:row r="32">
      <x:c r="D32" s="33"/>
      <x:c r="F32" s="31"/>
      <x:c r="G32" s="31"/>
    </x:row>
    <x:row r="33">
      <x:c r="D33" s="33"/>
      <x:c r="F33" s="31"/>
      <x:c r="G33" s="31"/>
    </x:row>
    <x:row r="34">
      <x:c r="D34" s="33"/>
      <x:c r="F34" s="31"/>
      <x:c r="G34" s="31"/>
    </x:row>
    <x:row r="35">
      <x:c r="D35" s="33"/>
      <x:c r="F35" s="31"/>
      <x:c r="G35" s="31"/>
    </x:row>
    <x:row r="36">
      <x:c r="D36" s="33"/>
      <x:c r="F36" s="31"/>
      <x:c r="G36" s="31"/>
    </x:row>
    <x:row r="37">
      <x:c r="D37" s="33"/>
      <x:c r="F37" s="31"/>
      <x:c r="G37" s="31"/>
    </x:row>
    <x:row r="38">
      <x:c r="D38" s="33"/>
      <x:c r="F38" s="31"/>
      <x:c r="G38" s="31"/>
    </x:row>
    <x:row r="39">
      <x:c r="D39" s="33"/>
      <x:c r="F39" s="31"/>
      <x:c r="G39" s="31"/>
    </x:row>
    <x:row r="40">
      <x:c r="D40" s="33"/>
      <x:c r="F40" s="31"/>
      <x:c r="G40" s="31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82f64382ea346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0" hidden="0" customWidth="1"/>
    <x:col min="5" max="5" width="4" hidden="0" customWidth="1"/>
    <x:col min="6" max="6" width="22" hidden="0" customWidth="1"/>
    <x:col min="7" max="7" width="16" hidden="0" customWidth="1"/>
    <x:col min="8" max="8" width="16" hidden="0" customWidth="1"/>
  </x:cols>
  <x:sheetData>
    <x:row r="1">
      <x:c r="A1" s="8" t="str">
        <x:v>Build Cost Summary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s="23" t="str">
        <x:v>Metric</x:v>
      </x:c>
      <x:c r="B3" s="23" t="str">
        <x:v>MXN</x:v>
      </x:c>
      <x:c r="C3" s="23" t="str">
        <x:v>CAD</x:v>
      </x:c>
      <x:c r="D3" s="23" t="str">
        <x:v>Formula/Notes</x:v>
      </x:c>
      <x:c r="E3" s="23"/>
      <x:c r="F3" s="23" t="str">
        <x:v>Category</x:v>
      </x:c>
      <x:c r="G3" s="23" t="str">
        <x:v>MXN</x:v>
      </x:c>
      <x:c r="H3" s="23" t="str">
        <x:v>CAD</x:v>
      </x:c>
      <x:c r="I3" s="23"/>
      <x:c r="J3" s="23"/>
    </x:row>
    <x:row r="4">
      <x:c r="A4" t="str">
        <x:v>Subtotal</x:v>
      </x:c>
      <x:c r="B4" s="31" t="n">
        <x:f>SUM('Quantity Calc'!G4:G28)</x:f>
        <x:v>540555.3333333333</x:v>
      </x:c>
      <x:c r="C4" s="31" t="n">
        <x:f>B4/Inputs!$B$4</x:f>
        <x:v>43244.42666666666</x:v>
      </x:c>
      <x:c r="D4" t="str">
        <x:v>Sum of Quantity Calc lines</x:v>
      </x:c>
      <x:c r="F4" t="str">
        <x:v>Foundation</x:v>
      </x:c>
      <x:c r="G4" t="n">
        <x:f>SUMIF('Quantity Calc'!$I$4:$I$28,F4,'Quantity Calc'!$G$4:$G$28)</x:f>
        <x:v>72828</x:v>
      </x:c>
      <x:c r="H4" t="n">
        <x:f>G4/Inputs!$B$4</x:f>
        <x:v>5826.24</x:v>
      </x:c>
    </x:row>
    <x:row r="5">
      <x:c r="A5" t="str">
        <x:v>Contingency</x:v>
      </x:c>
      <x:c r="B5" s="31" t="n">
        <x:f>B4*Inputs!$B$41</x:f>
        <x:v>64866.639999999985</x:v>
      </x:c>
      <x:c r="C5" s="31" t="n">
        <x:f>B5/Inputs!$B$4</x:f>
        <x:v>5189.331199999999</x:v>
      </x:c>
      <x:c r="D5" t="str">
        <x:v>Inputs!B41</x:v>
      </x:c>
      <x:c r="F5" t="str">
        <x:v>Exterior Shell</x:v>
      </x:c>
      <x:c r="G5" t="n">
        <x:f>SUMIF('Quantity Calc'!$I$4:$I$28,F5,'Quantity Calc'!$G$4:$G$28)</x:f>
        <x:v>67560</x:v>
      </x:c>
      <x:c r="H5" t="n">
        <x:f>G5/Inputs!$B$4</x:f>
        <x:v>5404.8</x:v>
      </x:c>
    </x:row>
    <x:row r="6">
      <x:c r="A6" t="str">
        <x:v>Builder markup</x:v>
      </x:c>
      <x:c r="B6" s="31" t="n">
        <x:f>(B4+B5)*Inputs!$B$42</x:f>
        <x:v>0</x:v>
      </x:c>
      <x:c r="C6" s="31" t="n">
        <x:f>B6/Inputs!$B$4</x:f>
        <x:v>0</x:v>
      </x:c>
      <x:c r="D6" t="str">
        <x:v>Inputs!B42</x:v>
      </x:c>
      <x:c r="F6" t="str">
        <x:v>Roof</x:v>
      </x:c>
      <x:c r="G6" t="n">
        <x:f>SUMIF('Quantity Calc'!$I$4:$I$28,F6,'Quantity Calc'!$G$4:$G$28)</x:f>
        <x:v>99527.99999999999</x:v>
      </x:c>
      <x:c r="H6" t="n">
        <x:f>G6/Inputs!$B$4</x:f>
        <x:v>7962.239999999999</x:v>
      </x:c>
    </x:row>
    <x:row r="7">
      <x:c r="A7" t="str">
        <x:v>Grand Total</x:v>
      </x:c>
      <x:c r="B7" s="31" t="n">
        <x:f>B4+B5+B6</x:f>
        <x:v>605421.9733333333</x:v>
      </x:c>
      <x:c r="C7" s="31" t="n">
        <x:f>B7/Inputs!$B$4</x:f>
        <x:v>48433.75786666666</x:v>
      </x:c>
      <x:c r="D7" t="str">
        <x:v>Subtotal + contingency + markup</x:v>
      </x:c>
      <x:c r="F7" t="str">
        <x:v>Interior Walls</x:v>
      </x:c>
      <x:c r="G7" t="n">
        <x:f>SUMIF('Quantity Calc'!$I$4:$I$28,F7,'Quantity Calc'!$G$4:$G$28)</x:f>
        <x:v>37417.333333333336</x:v>
      </x:c>
      <x:c r="H7" t="n">
        <x:f>G7/Inputs!$B$4</x:f>
        <x:v>2993.3866666666668</x:v>
      </x:c>
    </x:row>
    <x:row r="8">
      <x:c r="A8" t="str">
        <x:v>Cost per m²</x:v>
      </x:c>
      <x:c r="B8" s="35" t="n">
        <x:f>B7/B10</x:f>
        <x:v>48433.75786666666</x:v>
      </x:c>
      <x:c r="C8" s="35" t="n">
        <x:f>B8/Inputs!$B$4</x:f>
        <x:v>3874.700629333333</x:v>
      </x:c>
      <x:c r="D8" t="str">
        <x:v>Grand total / floor area</x:v>
      </x:c>
      <x:c r="F8" t="str">
        <x:v>Fixtures</x:v>
      </x:c>
      <x:c r="G8" t="n">
        <x:f>SUMIF('Quantity Calc'!$I$4:$I$28,F8,'Quantity Calc'!$G$4:$G$28)</x:f>
        <x:v>6779.333333333334</x:v>
      </x:c>
      <x:c r="H8" t="n">
        <x:f>G8/Inputs!$B$4</x:f>
        <x:v>542.3466666666667</x:v>
      </x:c>
    </x:row>
    <x:row r="9">
      <x:c r="A9" t="str">
        <x:v>Floor area m²</x:v>
      </x:c>
      <x:c r="B9" s="31" t="n">
        <x:f>Inputs!$B$8*Inputs!$B$9*Inputs!$B$11</x:f>
        <x:v>90</x:v>
      </x:c>
      <x:c r="C9" s="31" t="str"/>
      <x:c r="D9" t="str">
        <x:v>Length x width x floors</x:v>
      </x:c>
      <x:c r="F9" t="str">
        <x:v>Kitchen</x:v>
      </x:c>
      <x:c r="G9" t="n">
        <x:f>SUMIF('Quantity Calc'!$I$4:$I$28,F9,'Quantity Calc'!$G$4:$G$28)</x:f>
        <x:v>14332.666666666666</x:v>
      </x:c>
      <x:c r="H9" t="n">
        <x:f>G9/Inputs!$B$4</x:f>
        <x:v>1146.6133333333332</x:v>
      </x:c>
    </x:row>
    <x:row r="10">
      <x:c r="A10" t="str">
        <x:v>CAD/MXN rate</x:v>
      </x:c>
      <x:c r="B10" s="31" t="n">
        <x:f>Inputs!$B$4</x:f>
        <x:v>12.5</x:v>
      </x:c>
      <x:c r="C10" s="31" t="str"/>
      <x:c r="D10" t="str">
        <x:v>Inputs!B4</x:v>
      </x:c>
      <x:c r="F10" t="str">
        <x:v>Openings</x:v>
      </x:c>
      <x:c r="G10" t="n">
        <x:f>SUMIF('Quantity Calc'!$I$4:$I$28,F10,'Quantity Calc'!$G$4:$G$28)</x:f>
        <x:v>38300</x:v>
      </x:c>
      <x:c r="H10" t="n">
        <x:f>G10/Inputs!$B$4</x:f>
        <x:v>3064</x:v>
      </x:c>
    </x:row>
    <x:row r="11">
      <x:c r="A11" t="str">
        <x:v>Selected source</x:v>
      </x:c>
      <x:c r="B11" s="31" t="str">
        <x:f>Inputs!$B$5</x:f>
        <x:v>Average</x:v>
      </x:c>
      <x:c r="C11" s="31" t="str"/>
      <x:c r="D11" t="str">
        <x:v>Inputs!B5</x:v>
      </x:c>
      <x:c r="F11" t="str">
        <x:v>MEP</x:v>
      </x:c>
      <x:c r="G11" t="n">
        <x:f>SUMIF('Quantity Calc'!$I$4:$I$28,F11,'Quantity Calc'!$G$4:$G$28)</x:f>
        <x:v>19150</x:v>
      </x:c>
      <x:c r="H11" t="n">
        <x:f>G11/Inputs!$B$4</x:f>
        <x:v>1532</x:v>
      </x:c>
    </x:row>
    <x:row r="12">
      <x:c r="A12" t="str">
        <x:v>Target CAD budget</x:v>
      </x:c>
      <x:c r="B12" s="31" t="n">
        <x:v>50000</x:v>
      </x:c>
      <x:c r="C12" s="31" t="n">
        <x:f>B12*Inputs!$B$4</x:f>
        <x:v>625000</x:v>
      </x:c>
      <x:c r="D12" t="str">
        <x:v>Original working target</x:v>
      </x:c>
      <x:c r="F12" t="str">
        <x:v>Finishes</x:v>
      </x:c>
      <x:c r="G12" t="n">
        <x:f>SUMIF('Quantity Calc'!$I$4:$I$28,F12,'Quantity Calc'!$G$4:$G$28)</x:f>
        <x:v>66300</x:v>
      </x:c>
      <x:c r="H12" t="n">
        <x:f>G12/Inputs!$B$4</x:f>
        <x:v>5304</x:v>
      </x:c>
    </x:row>
    <x:row r="13">
      <x:c r="F13" t="str">
        <x:v>Labor</x:v>
      </x:c>
      <x:c r="G13" t="n">
        <x:f>SUMIF('Quantity Calc'!$I$4:$I$28,F13,'Quantity Calc'!$G$4:$G$28)</x:f>
        <x:v>91360</x:v>
      </x:c>
      <x:c r="H13" t="n">
        <x:f>G13/Inputs!$B$4</x:f>
        <x:v>7308.8</x:v>
      </x:c>
    </x:row>
    <x:row r="14">
      <x:c r="F14" t="str">
        <x:v>Other</x:v>
      </x:c>
      <x:c r="G14" t="n">
        <x:f>SUMIF('Quantity Calc'!$I$4:$I$28,F14,'Quantity Calc'!$G$4:$G$28)</x:f>
        <x:v>27000</x:v>
      </x:c>
      <x:c r="H14" t="n">
        <x:f>G14/Inputs!$B$4</x:f>
        <x:v>2160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244a59437cf4d9b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</x:cols>
  <x:sheetData>
    <x:row r="1">
      <x:c r="A1" s="8" t="str">
        <x:v>Quick Scenarios</x:v>
      </x:c>
      <x:c r="B1" s="8"/>
      <x:c r="C1" s="8"/>
      <x:c r="D1" s="8"/>
      <x:c r="E1" s="8"/>
      <x:c r="F1" s="8"/>
      <x:c r="G1" s="8"/>
      <x:c r="H1" s="8"/>
      <x:c r="I1" s="9"/>
      <x:c r="J1" s="9"/>
    </x:row>
    <x:row r="3">
      <x:c r="A3" s="23" t="str">
        <x:v>Scenario</x:v>
      </x:c>
      <x:c r="B3" s="23" t="str">
        <x:v>Length</x:v>
      </x:c>
      <x:c r="C3" s="23" t="str">
        <x:v>Width</x:v>
      </x:c>
      <x:c r="D3" s="23" t="str">
        <x:v>Interior wall m</x:v>
      </x:c>
      <x:c r="E3" s="23" t="str">
        <x:v>Bathrooms</x:v>
      </x:c>
      <x:c r="F3" s="23" t="str">
        <x:v>Kitchens</x:v>
      </x:c>
      <x:c r="G3" s="23" t="str">
        <x:v>Estimated MXN</x:v>
      </x:c>
      <x:c r="H3" s="23" t="str">
        <x:v>Estimated CAD</x:v>
      </x:c>
      <x:c r="I3" s="23"/>
      <x:c r="J3" s="23"/>
    </x:row>
    <x:row r="4">
      <x:c r="A4" t="str">
        <x:v>Tiny 1BR</x:v>
      </x:c>
      <x:c r="B4" t="n">
        <x:v>10</x:v>
      </x:c>
      <x:c r="C4" t="n">
        <x:v>5</x:v>
      </x:c>
      <x:c r="D4" t="n">
        <x:v>22</x:v>
      </x:c>
      <x:c r="E4" t="n">
        <x:v>1</x:v>
      </x:c>
      <x:c r="F4" t="n">
        <x:v>1</x:v>
      </x:c>
      <x:c r="G4" s="31" t="n">
        <x:f>((B4*C4)/(Inputs!$B$8*Inputs!$B$9))*'Cost Summary'!$B$7 + ((D4-Inputs!$B$24)*Inputs!$B$10*2*VLOOKUP("drywall_labor_m2",'Source Costs'!$A$4:$H$100,8,FALSE)) + ((E4-Inputs!$B$27)*(VLOOKUP("bathroom_package",'Source Costs'!$A$4:$H$100,8,FALSE)+VLOOKUP("shower_package",'Source Costs'!$A$4:$H$100,8,FALSE))) + ((F4-Inputs!$B$28)*(VLOOKUP("kitchen_cabinet_sink",'Source Costs'!$A$4:$H$100,8,FALSE)+VLOOKUP("kitchen_extra_cabinets",'Source Costs'!$A$4:$H$100,8,FALSE)))</x:f>
        <x:v>315185.5407407407</x:v>
      </x:c>
      <x:c r="H4" s="31" t="n">
        <x:f>G4/Inputs!$B$4</x:f>
        <x:v>25214.843259259258</x:v>
      </x:c>
    </x:row>
    <x:row r="5">
      <x:c r="A5" t="str">
        <x:v>Default 6x15</x:v>
      </x:c>
      <x:c r="B5" t="n">
        <x:v>15</x:v>
      </x:c>
      <x:c r="C5" t="n">
        <x:v>6</x:v>
      </x:c>
      <x:c r="D5" t="n">
        <x:v>45</x:v>
      </x:c>
      <x:c r="E5" t="n">
        <x:v>1</x:v>
      </x:c>
      <x:c r="F5" t="n">
        <x:v>1</x:v>
      </x:c>
      <x:c r="G5" s="31" t="n">
        <x:f>((B5*C5)/(Inputs!$B$8*Inputs!$B$9))*'Cost Summary'!$B$7 + ((D5-Inputs!$B$24)*Inputs!$B$10*2*VLOOKUP("drywall_labor_m2",'Source Costs'!$A$4:$H$100,8,FALSE)) + ((E5-Inputs!$B$27)*(VLOOKUP("bathroom_package",'Source Costs'!$A$4:$H$100,8,FALSE)+VLOOKUP("shower_package",'Source Costs'!$A$4:$H$100,8,FALSE))) + ((F5-Inputs!$B$28)*(VLOOKUP("kitchen_cabinet_sink",'Source Costs'!$A$4:$H$100,8,FALSE)+VLOOKUP("kitchen_extra_cabinets",'Source Costs'!$A$4:$H$100,8,FALSE)))</x:f>
        <x:v>605421.9733333333</x:v>
      </x:c>
      <x:c r="H5" s="31" t="n">
        <x:f>G5/Inputs!$B$4</x:f>
        <x:v>48433.75786666666</x:v>
      </x:c>
    </x:row>
    <x:row r="6">
      <x:c r="A6" t="str">
        <x:v>Larger 2BR</x:v>
      </x:c>
      <x:c r="B6" t="n">
        <x:v>16</x:v>
      </x:c>
      <x:c r="C6" t="n">
        <x:v>7</x:v>
      </x:c>
      <x:c r="D6" t="n">
        <x:v>55</x:v>
      </x:c>
      <x:c r="E6" t="n">
        <x:v>2</x:v>
      </x:c>
      <x:c r="F6" t="n">
        <x:v>1</x:v>
      </x:c>
      <x:c r="G6" s="31" t="n">
        <x:f>((B6*C6)/(Inputs!$B$8*Inputs!$B$9))*'Cost Summary'!$B$7 + ((D6-Inputs!$B$24)*Inputs!$B$10*2*VLOOKUP("drywall_labor_m2",'Source Costs'!$A$4:$H$100,8,FALSE)) + ((E6-Inputs!$B$27)*(VLOOKUP("bathroom_package",'Source Costs'!$A$4:$H$100,8,FALSE)+VLOOKUP("shower_package",'Source Costs'!$A$4:$H$100,8,FALSE))) + ((F6-Inputs!$B$28)*(VLOOKUP("kitchen_cabinet_sink",'Source Costs'!$A$4:$H$100,8,FALSE)+VLOOKUP("kitchen_extra_cabinets",'Source Costs'!$A$4:$H$100,8,FALSE)))</x:f>
        <x:v>769393.3445925926</x:v>
      </x:c>
      <x:c r="H6" s="31" t="n">
        <x:f>G6/Inputs!$B$4</x:f>
        <x:v>61551.4675674074</x:v>
      </x:c>
    </x:row>
    <x:row r="7">
      <x:c r="A7" t="str">
        <x:v>Duplex shell</x:v>
      </x:c>
      <x:c r="B7" t="n">
        <x:v>18</x:v>
      </x:c>
      <x:c r="C7" t="n">
        <x:v>8</x:v>
      </x:c>
      <x:c r="D7" t="n">
        <x:v>80</x:v>
      </x:c>
      <x:c r="E7" t="n">
        <x:v>2</x:v>
      </x:c>
      <x:c r="F7" t="n">
        <x:v>2</x:v>
      </x:c>
      <x:c r="G7" s="31" t="n">
        <x:f>((B7*C7)/(Inputs!$B$8*Inputs!$B$9))*'Cost Summary'!$B$7 + ((D7-Inputs!$B$24)*Inputs!$B$10*2*VLOOKUP("drywall_labor_m2",'Source Costs'!$A$4:$H$100,8,FALSE)) + ((E7-Inputs!$B$27)*(VLOOKUP("bathroom_package",'Source Costs'!$A$4:$H$100,8,FALSE)+VLOOKUP("shower_package",'Source Costs'!$A$4:$H$100,8,FALSE))) + ((F7-Inputs!$B$28)*(VLOOKUP("kitchen_cabinet_sink",'Source Costs'!$A$4:$H$100,8,FALSE)+VLOOKUP("kitchen_extra_cabinets",'Source Costs'!$A$4:$H$100,8,FALSE)))</x:f>
        <x:v>1021987.1573333333</x:v>
      </x:c>
      <x:c r="H7" s="31" t="n">
        <x:f>G7/Inputs!$B$4</x:f>
        <x:v>81758.97258666666</x:v>
      </x:c>
    </x:row>
    <x:row r="8">
      <x:c r="G8" s="31"/>
      <x:c r="H8" s="31"/>
    </x:row>
    <x:row r="9">
      <x:c r="G9" s="31"/>
      <x:c r="H9" s="31"/>
    </x:row>
    <x:row r="10">
      <x:c r="G10" s="31"/>
      <x:c r="H10" s="31"/>
    </x:row>
    <x:row r="11">
      <x:c r="G11" s="31"/>
      <x:c r="H11" s="31"/>
    </x:row>
    <x:row r="12">
      <x:c r="G12" s="31"/>
      <x:c r="H12" s="31"/>
    </x:row>
    <x:row r="13">
      <x:c r="G13" s="31"/>
      <x:c r="H13" s="31"/>
    </x:row>
    <x:row r="14">
      <x:c r="G14" s="31"/>
      <x:c r="H14" s="31"/>
    </x:row>
    <x:row r="15">
      <x:c r="G15" s="31"/>
      <x:c r="H15" s="31"/>
    </x:row>
    <x:row r="16">
      <x:c r="G16" s="31"/>
      <x:c r="H16" s="31"/>
    </x:row>
    <x:row r="17">
      <x:c r="G17" s="31"/>
      <x:c r="H17" s="31"/>
    </x:row>
    <x:row r="18">
      <x:c r="G18" s="31"/>
      <x:c r="H18" s="31"/>
    </x:row>
    <x:row r="19">
      <x:c r="G19" s="31"/>
      <x:c r="H19" s="31"/>
    </x:row>
    <x:row r="20">
      <x:c r="G20" s="31"/>
      <x:c r="H20" s="31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f685f3117d7442e"/>
  </x:tableParts>
</x:worksheet>
</file>